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пользоваться" sheetId="1" state="visible" r:id="rId1"/>
    <sheet name="Классификатор" sheetId="2" state="visible" r:id="rId2"/>
    <sheet name="Шаблон" sheetId="3" state="visible" r:id="rId3"/>
    <sheet name="Условный пример" sheetId="4" state="visible" r:id="rId4"/>
    <sheet name="Калькулятор позиции" sheetId="5" state="visible" r:id="rId5"/>
    <sheet name="Ориентировочный бюджет" sheetId="6" state="visible" r:id="rId6"/>
    <sheet name="Индекс" sheetId="7" state="visible" r:id="rId7"/>
    <sheet name="Производные затраты" sheetId="8" state="visible" r:id="rId8"/>
    <sheet name="Риск" sheetId="9" state="visible" r:id="rId9"/>
    <sheet name="Реестр документов" sheetId="10" state="visible" r:id="rId10"/>
    <sheet name="Контроль" sheetId="11" state="visible" r:id="rId11"/>
  </sheets>
  <definedNames>
    <definedName name="_xlnm.Print_Titles" localSheetId="0">'Как пользоваться'!$1:$2</definedName>
    <definedName name="_xlnm._FilterDatabase" localSheetId="1" hidden="1">'Классификатор'!$A$4:$E$50</definedName>
    <definedName name="_xlnm.Print_Titles" localSheetId="1">'Классификатор'!$1:$4</definedName>
    <definedName name="_xlnm._FilterDatabase" localSheetId="2" hidden="1">'Шаблон'!$A$4:$N$51</definedName>
    <definedName name="_xlnm.Print_Titles" localSheetId="2">'Шаблон'!$1:$4</definedName>
    <definedName name="_xlnm._FilterDatabase" localSheetId="3" hidden="1">'Условный пример'!$A$4:$N$51</definedName>
    <definedName name="_xlnm.Print_Titles" localSheetId="3">'Условный пример'!$1:$4</definedName>
    <definedName name="_xlnm.Print_Titles" localSheetId="4">'Калькулятор позиции'!$1:$2</definedName>
    <definedName name="_xlnm.Print_Titles" localSheetId="5">'Ориентировочный бюджет'!$1:$2</definedName>
    <definedName name="_xlnm._FilterDatabase" localSheetId="9" hidden="1">'Реестр документов'!$A$4:$E$54</definedName>
    <definedName name="_xlnm.Print_Titles" localSheetId="9">'Реестр документов'!$1:$4</definedName>
  </definedNames>
  <calcPr calcId="124519" calcMode="auto" fullCalcOnLoad="1"/>
</workbook>
</file>

<file path=xl/styles.xml><?xml version="1.0" encoding="utf-8"?>
<styleSheet xmlns="http://schemas.openxmlformats.org/spreadsheetml/2006/main">
  <numFmts count="5">
    <numFmt numFmtId="164" formatCode="#,##0;[Red]-#,##0;&quot;—&quot;"/>
    <numFmt numFmtId="165" formatCode="0.0%;[Red]-0.0%;&quot;—&quot;"/>
    <numFmt numFmtId="166" formatCode="0.0000"/>
    <numFmt numFmtId="167" formatCode="0.0"/>
    <numFmt numFmtId="168" formatCode="0.0%"/>
  </numFmts>
  <fonts count="8">
    <font>
      <name val="Calibri"/>
      <family val="2"/>
      <color theme="1"/>
      <sz val="11"/>
      <scheme val="minor"/>
    </font>
    <font>
      <name val="Calibri"/>
      <b val="1"/>
      <color rgb="001F4E79"/>
      <sz val="16"/>
    </font>
    <font>
      <name val="Calibri"/>
      <i val="1"/>
      <color rgb="00595959"/>
      <sz val="9"/>
    </font>
    <font>
      <name val="Calibri"/>
      <sz val="10"/>
    </font>
    <font>
      <name val="Calibri"/>
      <b val="1"/>
      <color rgb="001F4E79"/>
      <sz val="13"/>
    </font>
    <font>
      <name val="Calibri"/>
      <b val="1"/>
      <color rgb="00FFFFFF"/>
      <sz val="10"/>
    </font>
    <font>
      <name val="Calibri"/>
      <b val="1"/>
      <color rgb="001F4E79"/>
      <sz val="10"/>
    </font>
    <font>
      <name val="Calibri"/>
      <b val="1"/>
      <color rgb="001F4E79"/>
      <sz val="14"/>
    </font>
  </fonts>
  <fills count="10">
    <fill>
      <patternFill/>
    </fill>
    <fill>
      <patternFill patternType="gray125"/>
    </fill>
    <fill>
      <patternFill patternType="solid">
        <fgColor rgb="001F4E79"/>
      </patternFill>
    </fill>
    <fill>
      <patternFill patternType="solid">
        <fgColor rgb="00D6E3F0"/>
      </patternFill>
    </fill>
    <fill>
      <patternFill patternType="solid">
        <fgColor rgb="00FFFFFF"/>
      </patternFill>
    </fill>
    <fill>
      <patternFill patternType="solid">
        <fgColor rgb="00FFF2CC"/>
      </patternFill>
    </fill>
    <fill>
      <patternFill patternType="solid">
        <fgColor rgb="00DEEBF7"/>
      </patternFill>
    </fill>
    <fill>
      <patternFill patternType="solid">
        <fgColor rgb="00E2EFDA"/>
      </patternFill>
    </fill>
    <fill>
      <patternFill patternType="solid">
        <fgColor rgb="00FCE4D6"/>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4" fillId="0" borderId="0" pivotButton="0" quotePrefix="0" xfId="0"/>
    <xf numFmtId="0" fontId="5" fillId="2" borderId="1" applyAlignment="1" pivotButton="0" quotePrefix="0" xfId="0">
      <alignment horizontal="center" vertical="center" wrapText="1"/>
    </xf>
    <xf numFmtId="0" fontId="6" fillId="3" borderId="1" applyAlignment="1" pivotButton="0" quotePrefix="0" xfId="0">
      <alignment horizontal="left"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6" fillId="3" borderId="1" applyAlignment="1" pivotButton="0" quotePrefix="0" xfId="0">
      <alignment horizontal="center" vertical="center" wrapText="1"/>
    </xf>
    <xf numFmtId="0" fontId="6" fillId="3" borderId="1" applyAlignment="1" pivotButton="0" quotePrefix="0" xfId="0">
      <alignment vertical="center" wrapText="1"/>
    </xf>
    <xf numFmtId="0" fontId="3"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3" fillId="4" borderId="1" applyAlignment="1" pivotButton="0" quotePrefix="0" xfId="0">
      <alignment vertical="center" wrapText="1" indent="1"/>
    </xf>
    <xf numFmtId="0" fontId="6" fillId="3" borderId="1" applyAlignment="1" pivotButton="0" quotePrefix="0" xfId="0">
      <alignment vertical="center" wrapText="1" indent="1"/>
    </xf>
    <xf numFmtId="0" fontId="3" fillId="4" borderId="1" applyAlignment="1" pivotButton="0" quotePrefix="0" xfId="0">
      <alignment vertical="center" wrapText="1" indent="2"/>
    </xf>
    <xf numFmtId="0" fontId="2" fillId="0" borderId="0" applyAlignment="1" pivotButton="0" quotePrefix="0" xfId="0">
      <alignment horizontal="left" vertical="center" wrapText="1"/>
    </xf>
    <xf numFmtId="164" fontId="6" fillId="3" borderId="1" applyAlignment="1" pivotButton="0" quotePrefix="0" xfId="0">
      <alignment horizontal="right" vertical="center" wrapText="1"/>
    </xf>
    <xf numFmtId="165" fontId="6" fillId="3" borderId="1" applyAlignment="1" pivotButton="0" quotePrefix="0" xfId="0">
      <alignment horizontal="center" vertical="center" wrapText="1"/>
    </xf>
    <xf numFmtId="164" fontId="3" fillId="5" borderId="1" applyAlignment="1" pivotButton="0" quotePrefix="0" xfId="0">
      <alignment horizontal="right" vertical="center" wrapText="1"/>
    </xf>
    <xf numFmtId="164" fontId="3" fillId="6" borderId="1" applyAlignment="1" pivotButton="0" quotePrefix="0" xfId="0">
      <alignment horizontal="right" vertical="center" wrapText="1"/>
    </xf>
    <xf numFmtId="165" fontId="3" fillId="6" borderId="1" applyAlignment="1" pivotButton="0" quotePrefix="0" xfId="0">
      <alignment horizontal="center" vertical="center" wrapText="1"/>
    </xf>
    <xf numFmtId="0" fontId="3" fillId="5" borderId="1" applyAlignment="1" pivotButton="0" quotePrefix="0" xfId="0">
      <alignment horizontal="left" vertical="center" wrapText="1"/>
    </xf>
    <xf numFmtId="0" fontId="3" fillId="5" borderId="1" applyAlignment="1" pivotButton="0" quotePrefix="0" xfId="0">
      <alignment horizontal="center" vertical="center" wrapText="1"/>
    </xf>
    <xf numFmtId="0" fontId="5" fillId="2" borderId="1" applyAlignment="1" pivotButton="0" quotePrefix="0" xfId="0">
      <alignment horizontal="left" vertical="center" wrapText="1"/>
    </xf>
    <xf numFmtId="164" fontId="5" fillId="2" borderId="1" applyAlignment="1" pivotButton="0" quotePrefix="0" xfId="0">
      <alignment horizontal="right" vertical="center" wrapText="1"/>
    </xf>
    <xf numFmtId="165" fontId="5" fillId="2" borderId="1" applyAlignment="1" pivotButton="0" quotePrefix="0" xfId="0">
      <alignment horizontal="center" vertical="center" wrapText="1"/>
    </xf>
    <xf numFmtId="0" fontId="6" fillId="0" borderId="0" pivotButton="0" quotePrefix="0" xfId="0"/>
    <xf numFmtId="4" fontId="3" fillId="5" borderId="1" applyAlignment="1" pivotButton="0" quotePrefix="0" xfId="0">
      <alignment horizontal="right" vertical="center" wrapText="1"/>
    </xf>
    <xf numFmtId="0" fontId="2" fillId="4" borderId="1" applyAlignment="1" pivotButton="0" quotePrefix="0" xfId="0">
      <alignment horizontal="left" vertical="center" wrapText="1"/>
    </xf>
    <xf numFmtId="166" fontId="3" fillId="5" borderId="1" applyAlignment="1" pivotButton="0" quotePrefix="0" xfId="0">
      <alignment horizontal="right" vertical="center" wrapText="1"/>
    </xf>
    <xf numFmtId="4" fontId="6" fillId="6" borderId="1" applyAlignment="1" pivotButton="0" quotePrefix="0" xfId="0">
      <alignment horizontal="right" vertical="center" wrapText="1"/>
    </xf>
    <xf numFmtId="0" fontId="2" fillId="3" borderId="1" applyAlignment="1" pivotButton="0" quotePrefix="0" xfId="0">
      <alignment horizontal="left" vertical="center" wrapText="1"/>
    </xf>
    <xf numFmtId="164" fontId="6" fillId="7" borderId="1" applyAlignment="1" pivotButton="0" quotePrefix="0" xfId="0">
      <alignment horizontal="right" vertical="center" wrapText="1"/>
    </xf>
    <xf numFmtId="2" fontId="3" fillId="5" borderId="1" applyAlignment="1" pivotButton="0" quotePrefix="0" xfId="0">
      <alignment horizontal="right" vertical="center" wrapText="1"/>
    </xf>
    <xf numFmtId="164" fontId="3" fillId="7" borderId="1" applyAlignment="1" pivotButton="0" quotePrefix="0" xfId="0">
      <alignment horizontal="right" vertical="center" wrapText="1"/>
    </xf>
    <xf numFmtId="164" fontId="6" fillId="6" borderId="1" applyAlignment="1" pivotButton="0" quotePrefix="0" xfId="0">
      <alignment horizontal="right" vertical="center" wrapText="1"/>
    </xf>
    <xf numFmtId="4" fontId="3" fillId="6" borderId="1" applyAlignment="1" pivotButton="0" quotePrefix="0" xfId="0">
      <alignment horizontal="right" vertical="center" wrapText="1"/>
    </xf>
    <xf numFmtId="0" fontId="6" fillId="7" borderId="1" applyAlignment="1" pivotButton="0" quotePrefix="0" xfId="0">
      <alignment horizontal="left" vertical="center" wrapText="1"/>
    </xf>
    <xf numFmtId="0" fontId="2" fillId="7" borderId="1" applyAlignment="1" pivotButton="0" quotePrefix="0" xfId="0">
      <alignment horizontal="left" vertical="center" wrapText="1"/>
    </xf>
    <xf numFmtId="10" fontId="3" fillId="5" borderId="1" applyAlignment="1" pivotButton="0" quotePrefix="0" xfId="0">
      <alignment horizontal="right" vertical="center" wrapText="1"/>
    </xf>
    <xf numFmtId="166" fontId="3" fillId="6" borderId="1" applyAlignment="1" pivotButton="0" quotePrefix="0" xfId="0">
      <alignment horizontal="right" vertical="center" wrapText="1"/>
    </xf>
    <xf numFmtId="10" fontId="6" fillId="6" borderId="1" applyAlignment="1" pivotButton="0" quotePrefix="0" xfId="0">
      <alignment horizontal="right" vertical="center" wrapText="1"/>
    </xf>
    <xf numFmtId="166" fontId="6" fillId="7" borderId="1" applyAlignment="1" pivotButton="0" quotePrefix="0" xfId="0">
      <alignment horizontal="right" vertical="center" wrapText="1"/>
    </xf>
    <xf numFmtId="3" fontId="3" fillId="5" borderId="1" applyAlignment="1" pivotButton="0" quotePrefix="0" xfId="0">
      <alignment horizontal="right" vertical="center" wrapText="1"/>
    </xf>
    <xf numFmtId="167" fontId="3" fillId="5" borderId="1" applyAlignment="1" pivotButton="0" quotePrefix="0" xfId="0">
      <alignment horizontal="right" vertical="center" wrapText="1"/>
    </xf>
    <xf numFmtId="167" fontId="3" fillId="6" borderId="1" applyAlignment="1" pivotButton="0" quotePrefix="0" xfId="0">
      <alignment horizontal="right" vertical="center" wrapText="1"/>
    </xf>
    <xf numFmtId="2" fontId="3" fillId="6" borderId="1" applyAlignment="1" pivotButton="0" quotePrefix="0" xfId="0">
      <alignment horizontal="right" vertical="center" wrapText="1"/>
    </xf>
    <xf numFmtId="2" fontId="6" fillId="7" borderId="1" applyAlignment="1" pivotButton="0" quotePrefix="0" xfId="0">
      <alignment horizontal="right" vertical="center" wrapText="1"/>
    </xf>
    <xf numFmtId="2" fontId="6" fillId="6" borderId="1" applyAlignment="1" pivotButton="0" quotePrefix="0" xfId="0">
      <alignment horizontal="right" vertical="center" wrapText="1"/>
    </xf>
    <xf numFmtId="0" fontId="2" fillId="5" borderId="1" applyAlignment="1" pivotButton="0" quotePrefix="0" xfId="0">
      <alignment horizontal="left" vertical="center" wrapText="1"/>
    </xf>
    <xf numFmtId="0" fontId="2" fillId="8" borderId="1" applyAlignment="1" pivotButton="0" quotePrefix="0" xfId="0">
      <alignment horizontal="left" vertical="center" wrapText="1"/>
    </xf>
    <xf numFmtId="1" fontId="6" fillId="5" borderId="1" applyAlignment="1" pivotButton="0" quotePrefix="0" xfId="0">
      <alignment horizontal="center" vertical="center" wrapText="1"/>
    </xf>
    <xf numFmtId="1" fontId="6" fillId="6" borderId="1" applyAlignment="1" pivotButton="0" quotePrefix="0" xfId="0">
      <alignment horizontal="center" vertical="center" wrapText="1"/>
    </xf>
    <xf numFmtId="0" fontId="3" fillId="8" borderId="1" applyAlignment="1" pivotButton="0" quotePrefix="0" xfId="0">
      <alignment horizontal="left" vertical="center" wrapText="1"/>
    </xf>
    <xf numFmtId="0" fontId="7" fillId="7"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7" borderId="1" applyAlignment="1" pivotButton="0" quotePrefix="0" xfId="0">
      <alignment horizontal="left" vertical="center" wrapText="1"/>
    </xf>
    <xf numFmtId="0" fontId="5" fillId="2" borderId="0" applyAlignment="1" pivotButton="0" quotePrefix="0" xfId="0">
      <alignment horizontal="center" vertical="center" wrapText="1"/>
    </xf>
    <xf numFmtId="164" fontId="3" fillId="4" borderId="1" applyAlignment="1" pivotButton="0" quotePrefix="0" xfId="0">
      <alignment horizontal="right" vertical="center" wrapText="1"/>
    </xf>
    <xf numFmtId="0" fontId="3" fillId="6" borderId="1" applyAlignment="1" pivotButton="0" quotePrefix="0" xfId="0">
      <alignment horizontal="center" vertical="center" wrapText="1"/>
    </xf>
    <xf numFmtId="168" fontId="6" fillId="6" borderId="1" applyAlignment="1" pivotButton="0" quotePrefix="0" xfId="0">
      <alignment horizontal="right" vertical="center" wrapText="1"/>
    </xf>
    <xf numFmtId="168" fontId="3" fillId="4" borderId="1" applyAlignment="1" pivotButton="0" quotePrefix="0" xfId="0">
      <alignment horizontal="right" vertical="center" wrapText="1"/>
    </xf>
  </cellXfs>
  <cellStyles count="1">
    <cellStyle name="Normal" xfId="0" builtinId="0" hidden="0"/>
  </cellStyles>
  <dxfs count="4">
    <dxf>
      <fill>
        <patternFill patternType="solid">
          <fgColor rgb="00E2EFDA"/>
        </patternFill>
      </fill>
    </dxf>
    <dxf>
      <fill>
        <patternFill patternType="solid">
          <fgColor rgb="00F8CBAD"/>
        </patternFill>
      </fill>
    </dxf>
    <dxf>
      <font>
        <name val="Calibri"/>
        <b val="1"/>
        <color rgb="00843C0C"/>
      </font>
      <fill>
        <patternFill patternType="solid">
          <fgColor rgb="00F8CBAD"/>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D7377"/>
    <outlinePr summaryBelow="1" summaryRight="1"/>
    <pageSetUpPr fitToPage="1"/>
  </sheetPr>
  <dimension ref="A1:F29"/>
  <sheetViews>
    <sheetView showGridLines="0" workbookViewId="0">
      <pane ySplit="3" topLeftCell="A4" activePane="bottomLeft" state="frozen"/>
      <selection pane="bottomLeft" activeCell="A1" sqref="A1"/>
    </sheetView>
  </sheetViews>
  <sheetFormatPr baseColWidth="8" defaultRowHeight="15"/>
  <cols>
    <col width="28" customWidth="1" min="1" max="1"/>
    <col width="42" customWidth="1" min="2" max="2"/>
    <col width="22" customWidth="1" min="3" max="3"/>
    <col width="22" customWidth="1" min="4" max="4"/>
    <col width="22" customWidth="1" min="5" max="5"/>
    <col width="22" customWidth="1" min="6" max="6"/>
  </cols>
  <sheetData>
    <row r="1">
      <c r="A1" s="1" t="inlineStr">
        <is>
          <t>Постатейный факторный анализ корректировки бюджета</t>
        </is>
      </c>
    </row>
    <row r="2" ht="20" customHeight="1">
      <c r="A2" s="2" t="inlineStr">
        <is>
          <t>Расчетное приложение к методике. Валюта — российский рубль, суммы без НДС.</t>
        </is>
      </c>
    </row>
    <row r="4" ht="22" customHeight="1">
      <c r="A4" s="3" t="inlineStr">
        <is>
          <t>1. Базовый бюджет — редакция, утвержденная на старте финансирования. Промежуточные версии его не заменяют.</t>
        </is>
      </c>
    </row>
    <row r="5" ht="22" customHeight="1">
      <c r="A5" s="3" t="inlineStr">
        <is>
          <t>2. Сначала выведите за периметр новые очереди и выбывшие объекты. В факторы они не входят.</t>
        </is>
      </c>
    </row>
    <row r="6" ht="22" customHeight="1">
      <c r="A6" s="3" t="inlineStr">
        <is>
          <t>3. Заполняйте только желтые ячейки строк нижнего уровня на листе «Шаблон». Агрегаты и итог считаются сами.</t>
        </is>
      </c>
    </row>
    <row r="7" ht="22" customHeight="1">
      <c r="A7" s="3" t="inlineStr">
        <is>
          <t>4. Колонка «Контроль» обязана быть нулевой по каждой строке. Ненулевой остаток — не четвертый фактор, а незавершенный расчет.</t>
        </is>
      </c>
    </row>
    <row r="8" ht="22" customHeight="1">
      <c r="A8" s="3" t="inlineStr">
        <is>
          <t>5. Инфляция считается на исходный объем и исходное решение относительно дефляторов, утвержденных в базовой модели.</t>
        </is>
      </c>
    </row>
    <row r="9" ht="22" customHeight="1">
      <c r="A9" s="3" t="inlineStr">
        <is>
          <t>6. Изменения проектной документации оцениваются в текущих ценах. Инфляция приростного объема повторно в фактор 1 не ставится.</t>
        </is>
      </c>
    </row>
    <row r="10" ht="22" customHeight="1">
      <c r="A10" s="3" t="inlineStr">
        <is>
          <t>7. Проценты, страхование и процент генподряда считаются после разложения своей базы. Калькулятор — на листе «Производные затраты».</t>
        </is>
      </c>
    </row>
    <row r="11" ht="22" customHeight="1">
      <c r="A11" s="3" t="inlineStr">
        <is>
          <t>8. Одну позицию удобно разложить на листе «Калькулятор позиции». Индекс собирается на листе «Индекс».</t>
        </is>
      </c>
    </row>
    <row r="12" ht="22" customHeight="1">
      <c r="A12" s="3" t="inlineStr">
        <is>
          <t>9. Риск до ввода — это риск нового роста сверх откорректированного бюджета, а не объяснение уже включенного отклонения.</t>
        </is>
      </c>
    </row>
    <row r="13" ht="22" customHeight="1">
      <c r="A13" s="3" t="inlineStr">
        <is>
          <t>10. Лист «Условный пример» содержит учебный проект с ростом бюджета на 15%. Это не заключение по реальному объекту.</t>
        </is>
      </c>
    </row>
    <row r="14" ht="22" customHeight="1">
      <c r="A14" s="3" t="inlineStr">
        <is>
          <t>11. Класс надежности: А — первичные объемы, цены и индексы; Б — параметрический расчет; В — экспертный остаток. Для ориентировочного бюджета до рабочей документации класс А по строительной статье не ставится.</t>
        </is>
      </c>
    </row>
    <row r="15" ht="22" customHeight="1">
      <c r="A15" s="3" t="inlineStr">
        <is>
          <t>12. Полные правила, запрет двойного счета и реестр доказательств — в текстовой методике.</t>
        </is>
      </c>
    </row>
    <row r="16" ht="22" customHeight="1">
      <c r="A16" s="3" t="inlineStr">
        <is>
          <t>13. Если в базовом бюджете не было смет и рабочей документации, статья считается на листе «Ориентировочный бюджет»: инфляция начисляется на удельную ставку, а первый обсчет той же программы раскрывается внутри иных причин.</t>
        </is>
      </c>
    </row>
    <row r="17">
      <c r="A17" s="4" t="inlineStr">
        <is>
          <t>Листы файла</t>
        </is>
      </c>
    </row>
    <row r="18">
      <c r="A18" s="5" t="inlineStr">
        <is>
          <t>Лист</t>
        </is>
      </c>
      <c r="B18" s="5" t="inlineStr">
        <is>
          <t>Назначение</t>
        </is>
      </c>
    </row>
    <row r="19">
      <c r="A19" s="6" t="inlineStr">
        <is>
          <t>Как пользоваться</t>
        </is>
      </c>
      <c r="B19" s="7" t="inlineStr">
        <is>
          <t>Порядок ввода и контроль</t>
        </is>
      </c>
      <c r="C19" s="8" t="n"/>
      <c r="D19" s="8" t="n"/>
      <c r="E19" s="8" t="n"/>
      <c r="F19" s="9" t="n"/>
    </row>
    <row r="20">
      <c r="A20" s="6" t="inlineStr">
        <is>
          <t>Классификатор</t>
        </is>
      </c>
      <c r="B20" s="7" t="inlineStr">
        <is>
          <t>Коды статей, которые нельзя схлопывать и нельзя заводить вручную на агрегатах</t>
        </is>
      </c>
      <c r="C20" s="8" t="n"/>
      <c r="D20" s="8" t="n"/>
      <c r="E20" s="8" t="n"/>
      <c r="F20" s="9" t="n"/>
    </row>
    <row r="21">
      <c r="A21" s="6" t="inlineStr">
        <is>
          <t>Шаблон</t>
        </is>
      </c>
      <c r="B21" s="7" t="inlineStr">
        <is>
          <t>Пустая рабочая таблица с формулами</t>
        </is>
      </c>
      <c r="C21" s="8" t="n"/>
      <c r="D21" s="8" t="n"/>
      <c r="E21" s="8" t="n"/>
      <c r="F21" s="9" t="n"/>
    </row>
    <row r="22">
      <c r="A22" s="6" t="inlineStr">
        <is>
          <t>Условный пример</t>
        </is>
      </c>
      <c r="B22" s="7" t="inlineStr">
        <is>
          <t>Заполненный пример: 8,0 млрд руб. → 9,2 млрд руб.</t>
        </is>
      </c>
      <c r="C22" s="8" t="n"/>
      <c r="D22" s="8" t="n"/>
      <c r="E22" s="8" t="n"/>
      <c r="F22" s="9" t="n"/>
    </row>
    <row r="23">
      <c r="A23" s="6" t="inlineStr">
        <is>
          <t>Калькулятор позиции</t>
        </is>
      </c>
      <c r="B23" s="7" t="inlineStr">
        <is>
          <t>Формула трех факторов для одной работы</t>
        </is>
      </c>
      <c r="C23" s="8" t="n"/>
      <c r="D23" s="8" t="n"/>
      <c r="E23" s="8" t="n"/>
      <c r="F23" s="9" t="n"/>
    </row>
    <row r="24">
      <c r="A24" s="6" t="inlineStr">
        <is>
          <t>Ориентировочный бюджет</t>
        </is>
      </c>
      <c r="B24" s="7" t="inlineStr">
        <is>
          <t>Удельная ставка до рабочей документации: инфляция, отступление от паспорта и уточнение</t>
        </is>
      </c>
      <c r="C24" s="8" t="n"/>
      <c r="D24" s="8" t="n"/>
      <c r="E24" s="8" t="n"/>
      <c r="F24" s="9" t="n"/>
    </row>
    <row r="25">
      <c r="A25" s="6" t="inlineStr">
        <is>
          <t>Индекс</t>
        </is>
      </c>
      <c r="B25" s="7" t="inlineStr">
        <is>
          <t>Сборка коэффициента инфляции из весов ресурсов</t>
        </is>
      </c>
      <c r="C25" s="8" t="n"/>
      <c r="D25" s="8" t="n"/>
      <c r="E25" s="8" t="n"/>
      <c r="F25" s="9" t="n"/>
    </row>
    <row r="26">
      <c r="A26" s="6" t="inlineStr">
        <is>
          <t>Производные затраты</t>
        </is>
      </c>
      <c r="B26" s="7" t="inlineStr">
        <is>
          <t>Процент генподряда, содержание команды и учебный график процентов</t>
        </is>
      </c>
      <c r="C26" s="8" t="n"/>
      <c r="D26" s="8" t="n"/>
      <c r="E26" s="8" t="n"/>
      <c r="F26" s="9" t="n"/>
    </row>
    <row r="27">
      <c r="A27" s="6" t="inlineStr">
        <is>
          <t>Риск</t>
        </is>
      </c>
      <c r="B27" s="7" t="inlineStr">
        <is>
          <t>Шкала баллов до ввода в эксплуатацию</t>
        </is>
      </c>
      <c r="C27" s="8" t="n"/>
      <c r="D27" s="8" t="n"/>
      <c r="E27" s="8" t="n"/>
      <c r="F27" s="9" t="n"/>
    </row>
    <row r="28">
      <c r="A28" s="6" t="inlineStr">
        <is>
          <t>Реестр документов</t>
        </is>
      </c>
      <c r="B28" s="7" t="inlineStr">
        <is>
          <t>Минимальный комплект доказательств по факторам</t>
        </is>
      </c>
      <c r="C28" s="8" t="n"/>
      <c r="D28" s="8" t="n"/>
      <c r="E28" s="8" t="n"/>
      <c r="F28" s="9" t="n"/>
    </row>
    <row r="29">
      <c r="A29" s="6" t="inlineStr">
        <is>
          <t>Контроль</t>
        </is>
      </c>
      <c r="B29" s="7" t="inlineStr">
        <is>
          <t>Сверка итога условного примера</t>
        </is>
      </c>
      <c r="C29" s="8" t="n"/>
      <c r="D29" s="8" t="n"/>
      <c r="E29" s="8" t="n"/>
      <c r="F29" s="9" t="n"/>
    </row>
  </sheetData>
  <mergeCells count="25">
    <mergeCell ref="A16:F16"/>
    <mergeCell ref="B25:F25"/>
    <mergeCell ref="A12:F12"/>
    <mergeCell ref="B22:F22"/>
    <mergeCell ref="B27:F27"/>
    <mergeCell ref="B21:F21"/>
    <mergeCell ref="A2:F2"/>
    <mergeCell ref="A14:F14"/>
    <mergeCell ref="A5:F5"/>
    <mergeCell ref="A8:F8"/>
    <mergeCell ref="B23:F23"/>
    <mergeCell ref="A4:F4"/>
    <mergeCell ref="B29:F29"/>
    <mergeCell ref="A10:F10"/>
    <mergeCell ref="A13:F13"/>
    <mergeCell ref="B28:F28"/>
    <mergeCell ref="A9:F9"/>
    <mergeCell ref="B19:F19"/>
    <mergeCell ref="A15:F15"/>
    <mergeCell ref="A11:F11"/>
    <mergeCell ref="B24:F24"/>
    <mergeCell ref="B20:F20"/>
    <mergeCell ref="A6:F6"/>
    <mergeCell ref="B26:F26"/>
    <mergeCell ref="A7:F7"/>
  </mergeCell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548235"/>
    <outlinePr summaryBelow="1" summaryRight="1"/>
    <pageSetUpPr fitToPage="1"/>
  </sheetPr>
  <dimension ref="A1:E50"/>
  <sheetViews>
    <sheetView showGridLines="0" workbookViewId="0">
      <pane ySplit="4" topLeftCell="A5" activePane="bottomLeft" state="frozen"/>
      <selection pane="bottomLeft" activeCell="A1" sqref="A1"/>
    </sheetView>
  </sheetViews>
  <sheetFormatPr baseColWidth="8" defaultRowHeight="15"/>
  <cols>
    <col width="14" customWidth="1" min="1" max="1"/>
    <col width="68" customWidth="1" min="2" max="2"/>
    <col width="12" customWidth="1" min="3" max="3"/>
    <col width="78" customWidth="1" min="4" max="4"/>
    <col width="42" customWidth="1" min="5" max="5"/>
  </cols>
  <sheetData>
    <row r="1">
      <c r="A1" s="1" t="inlineStr">
        <is>
          <t>Классификатор статей бюджета</t>
        </is>
      </c>
    </row>
    <row r="2">
      <c r="A2" s="2" t="inlineStr">
        <is>
          <t>Нулевая строка не удаляется. Строка 03.04 заполняется только при наличии технологического оборудования в периметре бюджета.</t>
        </is>
      </c>
    </row>
    <row r="4">
      <c r="A4" s="5" t="inlineStr">
        <is>
          <t>Код</t>
        </is>
      </c>
      <c r="B4" s="5" t="inlineStr">
        <is>
          <t>Наименование</t>
        </is>
      </c>
      <c r="C4" s="5" t="inlineStr">
        <is>
          <t>Уровень</t>
        </is>
      </c>
      <c r="D4" s="5" t="inlineStr">
        <is>
          <t>Примечание по отнесению</t>
        </is>
      </c>
      <c r="E4" s="5" t="inlineStr">
        <is>
          <t>Типовой носитель фактора</t>
        </is>
      </c>
    </row>
    <row r="5" ht="32" customHeight="1">
      <c r="A5" s="10" t="inlineStr">
        <is>
          <t>01</t>
        </is>
      </c>
      <c r="B5" s="11" t="inlineStr">
        <is>
          <t>Подготовка строительства и земля</t>
        </is>
      </c>
      <c r="C5" s="10" t="n">
        <v>1</v>
      </c>
      <c r="D5" s="12" t="inlineStr">
        <is>
          <t>Вне периметра остается покупка прав на участок, если ее не было в бюджете T0.</t>
        </is>
      </c>
      <c r="E5" s="12" t="inlineStr">
        <is>
          <t>Смешанный</t>
        </is>
      </c>
    </row>
    <row r="6" ht="32" customHeight="1">
      <c r="A6" s="13" t="inlineStr">
        <is>
          <t>01.01</t>
        </is>
      </c>
      <c r="B6" s="14" t="inlineStr">
        <is>
          <t>Градостроительная подготовка и права на земельный участок</t>
        </is>
      </c>
      <c r="C6" s="13" t="n">
        <v>2</v>
      </c>
      <c r="D6" s="7" t="inlineStr">
        <is>
          <t>Градостроительные платежи редко имеют строительный дефлятор.</t>
        </is>
      </c>
      <c r="E6" s="7" t="inlineStr">
        <is>
          <t>Смешанный</t>
        </is>
      </c>
    </row>
    <row r="7" ht="32" customHeight="1">
      <c r="A7" s="13" t="inlineStr">
        <is>
          <t>01.02</t>
        </is>
      </c>
      <c r="B7" s="14" t="inlineStr">
        <is>
          <t>Освобождение территории, снос и перенос существующих сетей</t>
        </is>
      </c>
      <c r="C7" s="13" t="n">
        <v>2</v>
      </c>
      <c r="D7" s="7" t="inlineStr">
        <is>
          <t>Объем подтверждается исполнительными схемами, а не только счетами.</t>
        </is>
      </c>
      <c r="E7" s="7" t="inlineStr">
        <is>
          <t>Смешанный</t>
        </is>
      </c>
    </row>
    <row r="8" ht="32" customHeight="1">
      <c r="A8" s="13" t="inlineStr">
        <is>
          <t>01.03</t>
        </is>
      </c>
      <c r="B8" s="14" t="inlineStr">
        <is>
          <t>Земляные работы, котлован, крепление и водопонижение</t>
        </is>
      </c>
      <c r="C8" s="13" t="n">
        <v>2</v>
      </c>
      <c r="D8" s="7" t="inlineStr">
        <is>
          <t>Смена конструкции крепления из-за геологии — фактор ПСД. Фактический водоприток при тех же чертежах — иная причина.</t>
        </is>
      </c>
      <c r="E8" s="7" t="inlineStr">
        <is>
          <t>Смешанный</t>
        </is>
      </c>
    </row>
    <row r="9" ht="32" customHeight="1">
      <c r="A9" s="13" t="inlineStr">
        <is>
          <t>01.04</t>
        </is>
      </c>
      <c r="B9" s="14" t="inlineStr">
        <is>
          <t>Временная строительная инфраструктура площадки</t>
        </is>
      </c>
      <c r="C9" s="13" t="n">
        <v>2</v>
      </c>
      <c r="D9" s="7" t="inlineStr">
        <is>
          <t>Городок заказчика не дублируется внутри договоров подрядчиков.</t>
        </is>
      </c>
      <c r="E9" s="7" t="inlineStr">
        <is>
          <t>Смешанный</t>
        </is>
      </c>
    </row>
    <row r="10" ht="32" customHeight="1">
      <c r="A10" s="10" t="inlineStr">
        <is>
          <t>02</t>
        </is>
      </c>
      <c r="B10" s="11" t="inlineStr">
        <is>
          <t>Проектно-изыскательские работы и авторский надзор</t>
        </is>
      </c>
      <c r="C10" s="10" t="n">
        <v>1</v>
      </c>
      <c r="D10" s="12" t="inlineStr">
        <is>
          <t>Индекс СМР к проектированию не применяется.</t>
        </is>
      </c>
      <c r="E10" s="12" t="inlineStr">
        <is>
          <t>Ставки проектирования и состав разделов</t>
        </is>
      </c>
    </row>
    <row r="11" ht="32" customHeight="1">
      <c r="A11" s="13" t="inlineStr">
        <is>
          <t>02.01</t>
        </is>
      </c>
      <c r="B11" s="14" t="inlineStr">
        <is>
          <t>Инженерные изыскания</t>
        </is>
      </c>
      <c r="C11" s="13" t="n">
        <v>2</v>
      </c>
      <c r="D11" s="7" t="inlineStr">
        <is>
          <t>Допизыскания под новое решение — фактор ПСД.</t>
        </is>
      </c>
      <c r="E11" s="7" t="inlineStr">
        <is>
          <t>Ставки проектирования и состав разделов</t>
        </is>
      </c>
    </row>
    <row r="12" ht="32" customHeight="1">
      <c r="A12" s="13" t="inlineStr">
        <is>
          <t>02.02</t>
        </is>
      </c>
      <c r="B12" s="14" t="inlineStr">
        <is>
          <t>Проектная документация</t>
        </is>
      </c>
      <c r="C12" s="13" t="n">
        <v>2</v>
      </c>
      <c r="D12" s="7" t="inlineStr">
        <is>
          <t>Сверяются два задания на проектирование.</t>
        </is>
      </c>
      <c r="E12" s="7" t="inlineStr">
        <is>
          <t>Ставки проектирования и состав разделов</t>
        </is>
      </c>
    </row>
    <row r="13" ht="32" customHeight="1">
      <c r="A13" s="13" t="inlineStr">
        <is>
          <t>02.03</t>
        </is>
      </c>
      <c r="B13" s="14" t="inlineStr">
        <is>
          <t>Рабочая документация</t>
        </is>
      </c>
      <c r="C13" s="13" t="n">
        <v>2</v>
      </c>
      <c r="D13" s="7" t="inlineStr">
        <is>
          <t>Главное доказательство — реестр измов с причиной.</t>
        </is>
      </c>
      <c r="E13" s="7" t="inlineStr">
        <is>
          <t>Ставки проектирования и состав разделов</t>
        </is>
      </c>
    </row>
    <row r="14" ht="32" customHeight="1">
      <c r="A14" s="13" t="inlineStr">
        <is>
          <t>02.04</t>
        </is>
      </c>
      <c r="B14" s="14" t="inlineStr">
        <is>
          <t>Экспертиза проектной документации и результатов изысканий</t>
        </is>
      </c>
      <c r="C14" s="13" t="n">
        <v>2</v>
      </c>
      <c r="D14" s="7" t="inlineStr">
        <is>
          <t>Повторная экспертиза из-за смены ТЭП — фактор ПСД.</t>
        </is>
      </c>
      <c r="E14" s="7" t="inlineStr">
        <is>
          <t>Ставки проектирования и состав разделов</t>
        </is>
      </c>
    </row>
    <row r="15" ht="32" customHeight="1">
      <c r="A15" s="13" t="inlineStr">
        <is>
          <t>02.05</t>
        </is>
      </c>
      <c r="B15" s="14" t="inlineStr">
        <is>
          <t>Авторский надзор</t>
        </is>
      </c>
      <c r="C15" s="13" t="n">
        <v>2</v>
      </c>
      <c r="D15" s="7" t="inlineStr">
        <is>
          <t>Месяцы сверх даты ввода T0 не смешиваются с содержанием службы заказчика.</t>
        </is>
      </c>
      <c r="E15" s="7" t="inlineStr">
        <is>
          <t>Ставки проектирования и состав разделов</t>
        </is>
      </c>
    </row>
    <row r="16" ht="32" customHeight="1">
      <c r="A16" s="10" t="inlineStr">
        <is>
          <t>03</t>
        </is>
      </c>
      <c r="B16" s="11" t="inlineStr">
        <is>
          <t>Строительно-монтажные работы</t>
        </is>
      </c>
      <c r="C16" s="10" t="n">
        <v>1</v>
      </c>
      <c r="D16" s="12" t="inlineStr">
        <is>
          <t>Модель контрактования определяется по договору строки, а не одним ярлыком на проект.</t>
        </is>
      </c>
      <c r="E16" s="12" t="inlineStr">
        <is>
          <t>Объем, расценка, индекс ресурсов</t>
        </is>
      </c>
    </row>
    <row r="17" ht="32" customHeight="1">
      <c r="A17" s="10" t="inlineStr">
        <is>
          <t>03.01</t>
        </is>
      </c>
      <c r="B17" s="15" t="inlineStr">
        <is>
          <t>Общестроительные работы и конструктив</t>
        </is>
      </c>
      <c r="C17" s="10" t="n">
        <v>2</v>
      </c>
      <c r="D17" s="12" t="inlineStr">
        <is>
          <t>Отдельно отслеживаются тип фундамента, расход арматуры, тип фасада и остекление.</t>
        </is>
      </c>
      <c r="E17" s="12" t="inlineStr">
        <is>
          <t>Объем, расценка, индекс ресурсов</t>
        </is>
      </c>
    </row>
    <row r="18" ht="32" customHeight="1">
      <c r="A18" s="13" t="inlineStr">
        <is>
          <t>03.01.01</t>
        </is>
      </c>
      <c r="B18" s="16" t="inlineStr">
        <is>
          <t>Фундаменты и подземная часть</t>
        </is>
      </c>
      <c r="C18" s="13" t="n">
        <v>3</v>
      </c>
      <c r="D18" s="7" t="inlineStr">
        <is>
          <t>Единичные расценки дают класс А при наличии ведомости и калькуляции.</t>
        </is>
      </c>
      <c r="E18" s="7" t="inlineStr">
        <is>
          <t>Объем, расценка, индекс ресурсов</t>
        </is>
      </c>
    </row>
    <row r="19" ht="32" customHeight="1">
      <c r="A19" s="13" t="inlineStr">
        <is>
          <t>03.01.02</t>
        </is>
      </c>
      <c r="B19" s="16" t="inlineStr">
        <is>
          <t>Несущий каркас</t>
        </is>
      </c>
      <c r="C19" s="13" t="n">
        <v>3</v>
      </c>
      <c r="D19" s="7" t="inlineStr">
        <is>
          <t>Прирост кг арматуры на м³ при новой РД — фактор ПСД.</t>
        </is>
      </c>
      <c r="E19" s="7" t="inlineStr">
        <is>
          <t>Объем, расценка, индекс ресурсов</t>
        </is>
      </c>
    </row>
    <row r="20" ht="32" customHeight="1">
      <c r="A20" s="13" t="inlineStr">
        <is>
          <t>03.01.03</t>
        </is>
      </c>
      <c r="B20" s="16" t="inlineStr">
        <is>
          <t>Стены и перегородки</t>
        </is>
      </c>
      <c r="C20" s="13" t="n">
        <v>3</v>
      </c>
      <c r="D20" s="7" t="inlineStr">
        <is>
          <t>Планировочные перегородки — фактор ПСД, если их добавила новая РД.</t>
        </is>
      </c>
      <c r="E20" s="7" t="inlineStr">
        <is>
          <t>Объем, расценка, индекс ресурсов</t>
        </is>
      </c>
    </row>
    <row r="21" ht="32" customHeight="1">
      <c r="A21" s="13" t="inlineStr">
        <is>
          <t>03.01.04</t>
        </is>
      </c>
      <c r="B21" s="16" t="inlineStr">
        <is>
          <t>Фасады и кровля</t>
        </is>
      </c>
      <c r="C21" s="13" t="n">
        <v>3</v>
      </c>
      <c r="D21" s="7" t="inlineStr">
        <is>
          <t>Замена системы фасада оценивается по цене нового решения, а не индексом старого.</t>
        </is>
      </c>
      <c r="E21" s="7" t="inlineStr">
        <is>
          <t>Объем, расценка, индекс ресурсов</t>
        </is>
      </c>
    </row>
    <row r="22" ht="32" customHeight="1">
      <c r="A22" s="13" t="inlineStr">
        <is>
          <t>03.01.05</t>
        </is>
      </c>
      <c r="B22" s="16" t="inlineStr">
        <is>
          <t>Окна, двери и светопрозрачные конструкции</t>
        </is>
      </c>
      <c r="C22" s="13" t="n">
        <v>3</v>
      </c>
      <c r="D22" s="7" t="inlineStr">
        <is>
          <t>Смена марки профиля и стекла — смена решения.</t>
        </is>
      </c>
      <c r="E22" s="7" t="inlineStr">
        <is>
          <t>Объем, расценка, индекс ресурсов</t>
        </is>
      </c>
    </row>
    <row r="23" ht="32" customHeight="1">
      <c r="A23" s="13" t="inlineStr">
        <is>
          <t>03.01.06</t>
        </is>
      </c>
      <c r="B23" s="16" t="inlineStr">
        <is>
          <t>Внутренняя черновая отделка</t>
        </is>
      </c>
      <c r="C23" s="13" t="n">
        <v>3</v>
      </c>
      <c r="D23" s="7" t="inlineStr">
        <is>
          <t>Отделка шоурума сюда не включается, если она сидит в группе 05.</t>
        </is>
      </c>
      <c r="E23" s="7" t="inlineStr">
        <is>
          <t>Объем, расценка, индекс ресурсов</t>
        </is>
      </c>
    </row>
    <row r="24" ht="32" customHeight="1">
      <c r="A24" s="13" t="inlineStr">
        <is>
          <t>03.01.07</t>
        </is>
      </c>
      <c r="B24" s="16" t="inlineStr">
        <is>
          <t>Лифты и подъемное оборудование</t>
        </is>
      </c>
      <c r="C24" s="13" t="n">
        <v>3</v>
      </c>
      <c r="D24" s="7" t="inlineStr">
        <is>
          <t>Изменение числа подъемов и грузоподъемности — фактор ПСД.</t>
        </is>
      </c>
      <c r="E24" s="7" t="inlineStr">
        <is>
          <t>Объем, расценка, индекс ресурсов</t>
        </is>
      </c>
    </row>
    <row r="25" ht="32" customHeight="1">
      <c r="A25" s="10" t="inlineStr">
        <is>
          <t>03.02</t>
        </is>
      </c>
      <c r="B25" s="15" t="inlineStr">
        <is>
          <t>Внутренние инженерные системы</t>
        </is>
      </c>
      <c r="C25" s="10" t="n">
        <v>2</v>
      </c>
      <c r="D25" s="12" t="inlineStr">
        <is>
          <t>Пусконаладка системы сидит в строке этой системы.</t>
        </is>
      </c>
      <c r="E25" s="12" t="inlineStr">
        <is>
          <t>Объем, расценка, индекс ресурсов</t>
        </is>
      </c>
    </row>
    <row r="26" ht="32" customHeight="1">
      <c r="A26" s="13" t="inlineStr">
        <is>
          <t>03.02.01</t>
        </is>
      </c>
      <c r="B26" s="16" t="inlineStr">
        <is>
          <t>Отопление, вентиляция и кондиционирование</t>
        </is>
      </c>
      <c r="C26" s="13" t="n">
        <v>3</v>
      </c>
      <c r="D26" s="7" t="inlineStr">
        <is>
          <t>Курсовое допущение модели на исходную спецификацию — инфляция. Новая производительность — ПСД.</t>
        </is>
      </c>
      <c r="E26" s="7" t="inlineStr">
        <is>
          <t>Объем, расценка, индекс ресурсов</t>
        </is>
      </c>
    </row>
    <row r="27" ht="32" customHeight="1">
      <c r="A27" s="13" t="inlineStr">
        <is>
          <t>03.02.02</t>
        </is>
      </c>
      <c r="B27" s="16" t="inlineStr">
        <is>
          <t>Водоснабжение и водоотведение</t>
        </is>
      </c>
      <c r="C27" s="13" t="n">
        <v>3</v>
      </c>
      <c r="D27" s="7" t="inlineStr">
        <is>
          <t>Количество приборов берется из спецификации, а не из площади здания.</t>
        </is>
      </c>
      <c r="E27" s="7" t="inlineStr">
        <is>
          <t>Объем, расценка, индекс ресурсов</t>
        </is>
      </c>
    </row>
    <row r="28" ht="32" customHeight="1">
      <c r="A28" s="13" t="inlineStr">
        <is>
          <t>03.02.03</t>
        </is>
      </c>
      <c r="B28" s="16" t="inlineStr">
        <is>
          <t>Электрооборудование, электроосвещение и молниезащита</t>
        </is>
      </c>
      <c r="C28" s="13" t="n">
        <v>3</v>
      </c>
      <c r="D28" s="7" t="inlineStr">
        <is>
          <t>Рост кВт по новым ТЭП — фактор ПСД. Тариф исходных кВт — инфляция.</t>
        </is>
      </c>
      <c r="E28" s="7" t="inlineStr">
        <is>
          <t>Объем, расценка, индекс ресурсов</t>
        </is>
      </c>
    </row>
    <row r="29" ht="32" customHeight="1">
      <c r="A29" s="13" t="inlineStr">
        <is>
          <t>03.02.04</t>
        </is>
      </c>
      <c r="B29" s="16" t="inlineStr">
        <is>
          <t>Сети связи, АПС, СОУЭ, СКУД, автоматизация и диспетчеризация</t>
        </is>
      </c>
      <c r="C29" s="13" t="n">
        <v>3</v>
      </c>
      <c r="D29" s="7" t="inlineStr">
        <is>
          <t>Смена задания на системы подтверждает фактор ПСД. Смена вендора при том же задании — иная причина, если цена выше рынка.</t>
        </is>
      </c>
      <c r="E29" s="7" t="inlineStr">
        <is>
          <t>Объем, расценка, индекс ресурсов</t>
        </is>
      </c>
    </row>
    <row r="30" ht="32" customHeight="1">
      <c r="A30" s="13" t="inlineStr">
        <is>
          <t>03.02.05</t>
        </is>
      </c>
      <c r="B30" s="16" t="inlineStr">
        <is>
          <t>Системы противопожарной защиты и прочие внутренние системы</t>
        </is>
      </c>
      <c r="C30" s="13" t="n">
        <v>3</v>
      </c>
      <c r="D30" s="7" t="inlineStr">
        <is>
          <t>Требование нового нормативного раздела без смены объекта раскрывается отдельно.</t>
        </is>
      </c>
      <c r="E30" s="7" t="inlineStr">
        <is>
          <t>Объем, расценка, индекс ресурсов</t>
        </is>
      </c>
    </row>
    <row r="31" ht="32" customHeight="1">
      <c r="A31" s="10" t="inlineStr">
        <is>
          <t>03.03</t>
        </is>
      </c>
      <c r="B31" s="15" t="inlineStr">
        <is>
          <t>Наружные инженерные сети и благоустройство</t>
        </is>
      </c>
      <c r="C31" s="10" t="n">
        <v>2</v>
      </c>
      <c r="D31" s="12" t="inlineStr">
        <is>
          <t>Плата за технологическое присоединение сидит в строке соответствующей сети и второй строкой не заводится.</t>
        </is>
      </c>
      <c r="E31" s="12" t="inlineStr">
        <is>
          <t>Объем, расценка, индекс ресурсов</t>
        </is>
      </c>
    </row>
    <row r="32" ht="32" customHeight="1">
      <c r="A32" s="13" t="inlineStr">
        <is>
          <t>03.03.01</t>
        </is>
      </c>
      <c r="B32" s="16" t="inlineStr">
        <is>
          <t>Наружные сети водоснабжения, водоотведения и ливневой канализации</t>
        </is>
      </c>
      <c r="C32" s="13" t="n">
        <v>3</v>
      </c>
      <c r="D32" s="7" t="inlineStr">
        <is>
          <t>Протяженность и диаметр — измерители фактора ПСД.</t>
        </is>
      </c>
      <c r="E32" s="7" t="inlineStr">
        <is>
          <t>Объем, расценка, индекс ресурсов</t>
        </is>
      </c>
    </row>
    <row r="33" ht="32" customHeight="1">
      <c r="A33" s="13" t="inlineStr">
        <is>
          <t>03.03.02</t>
        </is>
      </c>
      <c r="B33" s="16" t="inlineStr">
        <is>
          <t>Наружные сети теплоснабжения</t>
        </is>
      </c>
      <c r="C33" s="13" t="n">
        <v>3</v>
      </c>
      <c r="D33" s="7" t="inlineStr">
        <is>
          <t>То же для тепловой нагрузки.</t>
        </is>
      </c>
      <c r="E33" s="7" t="inlineStr">
        <is>
          <t>Объем, расценка, индекс ресурсов</t>
        </is>
      </c>
    </row>
    <row r="34" ht="32" customHeight="1">
      <c r="A34" s="13" t="inlineStr">
        <is>
          <t>03.03.03</t>
        </is>
      </c>
      <c r="B34" s="16" t="inlineStr">
        <is>
          <t>Наружное электроснабжение и трансформаторные подстанции</t>
        </is>
      </c>
      <c r="C34" s="13" t="n">
        <v>3</v>
      </c>
      <c r="D34" s="7" t="inlineStr">
        <is>
          <t>Мощность, тариф и навязанная трасса раскладываются в три разных фактора.</t>
        </is>
      </c>
      <c r="E34" s="7" t="inlineStr">
        <is>
          <t>Объем, расценка, индекс ресурсов</t>
        </is>
      </c>
    </row>
    <row r="35" ht="32" customHeight="1">
      <c r="A35" s="13" t="inlineStr">
        <is>
          <t>03.03.04</t>
        </is>
      </c>
      <c r="B35" s="16" t="inlineStr">
        <is>
          <t>Наружные сети связи</t>
        </is>
      </c>
      <c r="C35" s="13" t="n">
        <v>3</v>
      </c>
      <c r="D35" s="7" t="inlineStr">
        <is>
          <t>Не смешивать с внутренними слаботочными системами.</t>
        </is>
      </c>
      <c r="E35" s="7" t="inlineStr">
        <is>
          <t>Объем, расценка, индекс ресурсов</t>
        </is>
      </c>
    </row>
    <row r="36" ht="32" customHeight="1">
      <c r="A36" s="13" t="inlineStr">
        <is>
          <t>03.03.05</t>
        </is>
      </c>
      <c r="B36" s="16" t="inlineStr">
        <is>
          <t>Дороги, благоустройство и малые архитектурные формы</t>
        </is>
      </c>
      <c r="C36" s="13" t="n">
        <v>3</v>
      </c>
      <c r="D36" s="7" t="inlineStr">
        <is>
          <t>Сезонный перенос — иная причина, а не инфляция.</t>
        </is>
      </c>
      <c r="E36" s="7" t="inlineStr">
        <is>
          <t>Объем, расценка, индекс ресурсов</t>
        </is>
      </c>
    </row>
    <row r="37" ht="32" customHeight="1">
      <c r="A37" s="13" t="inlineStr">
        <is>
          <t>03.04</t>
        </is>
      </c>
      <c r="B37" s="14" t="inlineStr">
        <is>
          <t>Технологическое оборудование и пусконаладка</t>
        </is>
      </c>
      <c r="C37" s="13" t="n">
        <v>2</v>
      </c>
      <c r="D37" s="7" t="inlineStr">
        <is>
          <t>Не смешивать с инженерными системами здания.</t>
        </is>
      </c>
      <c r="E37" s="7" t="inlineStr">
        <is>
          <t>Объем, расценка, индекс ресурсов</t>
        </is>
      </c>
    </row>
    <row r="38" ht="32" customHeight="1">
      <c r="A38" s="10" t="inlineStr">
        <is>
          <t>04</t>
        </is>
      </c>
      <c r="B38" s="11" t="inlineStr">
        <is>
          <t>Затраты на управление проектом</t>
        </is>
      </c>
      <c r="C38" s="10" t="n">
        <v>1</v>
      </c>
      <c r="D38" s="12" t="inlineStr">
        <is>
          <t>Статья считается людьми, месяцами и процентом от уже разложенной базы.</t>
        </is>
      </c>
      <c r="E38" s="12" t="inlineStr">
        <is>
          <t>Численность, месяцы, процент от базы</t>
        </is>
      </c>
    </row>
    <row r="39" ht="32" customHeight="1">
      <c r="A39" s="13" t="inlineStr">
        <is>
          <t>04.01</t>
        </is>
      </c>
      <c r="B39" s="14" t="inlineStr">
        <is>
          <t>Служба заказчика и технический заказчик</t>
        </is>
      </c>
      <c r="C39" s="13" t="n">
        <v>2</v>
      </c>
      <c r="D39" s="7" t="inlineStr">
        <is>
          <t>Индексация исходных месяцев — инфляция. Лишние месяцы — иная причина, пока задержка не доказана изменением ПСД.</t>
        </is>
      </c>
      <c r="E39" s="7" t="inlineStr">
        <is>
          <t>Численность, месяцы, процент от базы</t>
        </is>
      </c>
    </row>
    <row r="40" ht="32" customHeight="1">
      <c r="A40" s="13" t="inlineStr">
        <is>
          <t>04.02</t>
        </is>
      </c>
      <c r="B40" s="14" t="inlineStr">
        <is>
          <t>Вознаграждение генподрядчика либо управляющего строительством</t>
        </is>
      </c>
      <c r="C40" s="13" t="n">
        <v>2</v>
      </c>
      <c r="D40" s="7" t="inlineStr">
        <is>
          <t>Процент не индексируется отдельно. Он наследует факторы базы.</t>
        </is>
      </c>
      <c r="E40" s="7" t="inlineStr">
        <is>
          <t>Численность, месяцы, процент от базы</t>
        </is>
      </c>
    </row>
    <row r="41" ht="32" customHeight="1">
      <c r="A41" s="13" t="inlineStr">
        <is>
          <t>04.03</t>
        </is>
      </c>
      <c r="B41" s="14" t="inlineStr">
        <is>
          <t>Строительный контроль, охрана труда, качество и охрана площадки</t>
        </is>
      </c>
      <c r="C41" s="13" t="n">
        <v>2</v>
      </c>
      <c r="D41" s="7" t="inlineStr">
        <is>
          <t>Охрана периода пролонгации — иная причина.</t>
        </is>
      </c>
      <c r="E41" s="7" t="inlineStr">
        <is>
          <t>Численность, месяцы, процент от базы</t>
        </is>
      </c>
    </row>
    <row r="42" ht="32" customHeight="1">
      <c r="A42" s="10" t="inlineStr">
        <is>
          <t>05</t>
        </is>
      </c>
      <c r="B42" s="11" t="inlineStr">
        <is>
          <t>Коммерческие и маркетинговые расходы</t>
        </is>
      </c>
      <c r="C42" s="10" t="n">
        <v>1</v>
      </c>
      <c r="D42" s="12" t="inlineStr">
        <is>
          <t>Дефлятор строительства к комиссии брокера не применяется. Для объекта без продаж группа может быть нулевой.</t>
        </is>
      </c>
      <c r="E42" s="12" t="inlineStr">
        <is>
          <t>Медиаплан, ставка комиссии, площадь продаж</t>
        </is>
      </c>
    </row>
    <row r="43" ht="32" customHeight="1">
      <c r="A43" s="13" t="inlineStr">
        <is>
          <t>05.01</t>
        </is>
      </c>
      <c r="B43" s="14" t="inlineStr">
        <is>
          <t>Продвижение и реклама</t>
        </is>
      </c>
      <c r="C43" s="13" t="n">
        <v>2</v>
      </c>
      <c r="D43" s="7" t="inlineStr">
        <is>
          <t>Медиаинфляция исходного плана — фактор 1. Новый канал — иная причина.</t>
        </is>
      </c>
      <c r="E43" s="7" t="inlineStr">
        <is>
          <t>Медиаплан, ставка комиссии, площадь продаж</t>
        </is>
      </c>
    </row>
    <row r="44" ht="32" customHeight="1">
      <c r="A44" s="13" t="inlineStr">
        <is>
          <t>05.02</t>
        </is>
      </c>
      <c r="B44" s="14" t="inlineStr">
        <is>
          <t>Офис продаж и демонстрационные площади</t>
        </is>
      </c>
      <c r="C44" s="13" t="n">
        <v>2</v>
      </c>
      <c r="D44" s="7" t="inlineStr">
        <is>
          <t>Связь с изменением продукта нужна, чтобы отнести затрату к ПСД.</t>
        </is>
      </c>
      <c r="E44" s="7" t="inlineStr">
        <is>
          <t>Медиаплан, ставка комиссии, площадь продаж</t>
        </is>
      </c>
    </row>
    <row r="45" ht="32" customHeight="1">
      <c r="A45" s="13" t="inlineStr">
        <is>
          <t>05.03</t>
        </is>
      </c>
      <c r="B45" s="14" t="inlineStr">
        <is>
          <t>Вознаграждение брокеров и каналов продаж</t>
        </is>
      </c>
      <c r="C45" s="13" t="n">
        <v>2</v>
      </c>
      <c r="D45" s="7" t="inlineStr">
        <is>
          <t>Рост цены продажи и ставки комиссии — иная причина. Рост площади из-за ТЭП — ПСД.</t>
        </is>
      </c>
      <c r="E45" s="7" t="inlineStr">
        <is>
          <t>Медиаплан, ставка комиссии, площадь продаж</t>
        </is>
      </c>
    </row>
    <row r="46" ht="32" customHeight="1">
      <c r="A46" s="10" t="inlineStr">
        <is>
          <t>06</t>
        </is>
      </c>
      <c r="B46" s="11" t="inlineStr">
        <is>
          <t>Финансовые и прочие затраты</t>
        </is>
      </c>
      <c r="C46" s="10" t="n">
        <v>1</v>
      </c>
      <c r="D46" s="12" t="inlineStr">
        <is>
          <t>Резерв инфляции в эту группу не прячется, если инфляция уже сидит в статьях.</t>
        </is>
      </c>
      <c r="E46" s="12" t="inlineStr">
        <is>
          <t>Тело долга, ставка, срок, регистр резерва</t>
        </is>
      </c>
    </row>
    <row r="47" ht="32" customHeight="1">
      <c r="A47" s="13" t="inlineStr">
        <is>
          <t>06.01</t>
        </is>
      </c>
      <c r="B47" s="14" t="inlineStr">
        <is>
          <t>Проценты на инвестиционной фазе</t>
        </is>
      </c>
      <c r="C47" s="13" t="n">
        <v>2</v>
      </c>
      <c r="D47" s="7" t="inlineStr">
        <is>
          <t>Сценарии BASE, INF, PSD, ACT. Ставка кредита сама по себе в инфляцию СМР не входит.</t>
        </is>
      </c>
      <c r="E47" s="7" t="inlineStr">
        <is>
          <t>Тело долга, ставка, срок, регистр резерва</t>
        </is>
      </c>
    </row>
    <row r="48" ht="32" customHeight="1">
      <c r="A48" s="13" t="inlineStr">
        <is>
          <t>06.02</t>
        </is>
      </c>
      <c r="B48" s="14" t="inlineStr">
        <is>
          <t>Страхование</t>
        </is>
      </c>
      <c r="C48" s="13" t="n">
        <v>2</v>
      </c>
      <c r="D48" s="7" t="inlineStr">
        <is>
          <t>Та же логика наследования базы плюс срок полиса.</t>
        </is>
      </c>
      <c r="E48" s="7" t="inlineStr">
        <is>
          <t>Тело долга, ставка, срок, регистр резерва</t>
        </is>
      </c>
    </row>
    <row r="49" ht="32" customHeight="1">
      <c r="A49" s="13" t="inlineStr">
        <is>
          <t>06.03</t>
        </is>
      </c>
      <c r="B49" s="14" t="inlineStr">
        <is>
          <t>Резерв непредвиденных расходов</t>
        </is>
      </c>
      <c r="C49" s="13" t="n">
        <v>2</v>
      </c>
      <c r="D49" s="7" t="inlineStr">
        <is>
          <t>Использование резерва — отрицательная сумма здесь и положительная сумма в профильной статье.</t>
        </is>
      </c>
      <c r="E49" s="7" t="inlineStr">
        <is>
          <t>Тело долга, ставка, срок, регистр резерва</t>
        </is>
      </c>
    </row>
    <row r="50" ht="32" customHeight="1">
      <c r="A50" s="13" t="inlineStr">
        <is>
          <t>06.04</t>
        </is>
      </c>
      <c r="B50" s="14" t="inlineStr">
        <is>
          <t>Комиссии, гарантии, обязательные платежи и консультации</t>
        </is>
      </c>
      <c r="C50" s="13" t="n">
        <v>2</v>
      </c>
      <c r="D50" s="7" t="inlineStr">
        <is>
          <t>В том числе земельные платежи периода строительства и эффект ставки НДС, если он не вынесен справочно.</t>
        </is>
      </c>
      <c r="E50" s="7" t="inlineStr">
        <is>
          <t>Тело долга, ставка, срок, регистр резерва</t>
        </is>
      </c>
    </row>
  </sheetData>
  <autoFilter ref="A4:E50"/>
  <mergeCells count="1">
    <mergeCell ref="A2:E2"/>
  </mergeCells>
  <pageMargins left="0.75" right="0.75" top="1" bottom="1" header="0.5" footer="0.5"/>
  <pageSetup orientation="landscape" paperSize="8" fitToHeight="1" fitToWidth="1"/>
</worksheet>
</file>

<file path=xl/worksheets/sheet3.xml><?xml version="1.0" encoding="utf-8"?>
<worksheet xmlns="http://schemas.openxmlformats.org/spreadsheetml/2006/main">
  <sheetPr>
    <tabColor rgb="000D7377"/>
    <outlinePr summaryBelow="1" summaryRight="1"/>
    <pageSetUpPr fitToPage="1"/>
  </sheetPr>
  <dimension ref="A1:N51"/>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62" customWidth="1" min="2" max="2"/>
    <col width="24" customWidth="1" min="3" max="3"/>
    <col width="28" customWidth="1" min="4" max="4"/>
    <col width="22" customWidth="1" min="5" max="5"/>
    <col width="16" customWidth="1" min="6" max="6"/>
    <col width="26" customWidth="1" min="7" max="7"/>
    <col width="30" customWidth="1" min="8" max="8"/>
    <col width="28" customWidth="1" min="9" max="9"/>
    <col width="18" customWidth="1" min="10" max="10"/>
    <col width="72" customWidth="1" min="11" max="11"/>
    <col width="16" customWidth="1" min="12" max="12"/>
    <col width="55" customWidth="1" min="13" max="13"/>
    <col width="18" customWidth="1" min="14" max="14"/>
  </cols>
  <sheetData>
    <row r="1" ht="24" customHeight="1">
      <c r="A1" s="1" t="inlineStr">
        <is>
          <t>Шаблон постатейного факторного анализа</t>
        </is>
      </c>
    </row>
    <row r="2" ht="36" customHeight="1">
      <c r="A2" s="17" t="inlineStr">
        <is>
          <t>Единица измерения — рубль без НДС. Желтым отмечен ввод. Отклонение, процент, агрегаты и колонка «Контроль» считаются формулами. Контроль = инфляция + изменения ПСД + иные причины − отклонение и должен быть равен нулю. Агрегаты не вводятся вручную: они суммируют строки, которые стоят ниже до следующего агрегата того же или более высокого уровня.</t>
        </is>
      </c>
    </row>
    <row r="4" ht="36" customHeight="1">
      <c r="A4" s="5" t="inlineStr">
        <is>
          <t>Код</t>
        </is>
      </c>
      <c r="B4" s="5" t="inlineStr">
        <is>
          <t>Наименование статьи</t>
        </is>
      </c>
      <c r="C4" s="5" t="inlineStr">
        <is>
          <t>Базовый бюджет, руб.</t>
        </is>
      </c>
      <c r="D4" s="5" t="inlineStr">
        <is>
          <t>Откорректированный бюджет, руб.</t>
        </is>
      </c>
      <c r="E4" s="5" t="inlineStr">
        <is>
          <t>Отклонение, руб.</t>
        </is>
      </c>
      <c r="F4" s="5" t="inlineStr">
        <is>
          <t>Отклонение, %</t>
        </is>
      </c>
      <c r="G4" s="5" t="inlineStr">
        <is>
          <t>Фактор 1. Инфляция, руб.</t>
        </is>
      </c>
      <c r="H4" s="5" t="inlineStr">
        <is>
          <t>Фактор 2. Изменения ПСД, руб.</t>
        </is>
      </c>
      <c r="I4" s="5" t="inlineStr">
        <is>
          <t>Фактор 3. Иные причины, руб.</t>
        </is>
      </c>
      <c r="J4" s="5" t="inlineStr">
        <is>
          <t>Контроль, руб.</t>
        </is>
      </c>
      <c r="K4" s="5" t="inlineStr">
        <is>
          <t>Причины изменения</t>
        </is>
      </c>
      <c r="L4" s="5" t="inlineStr">
        <is>
          <t>Риск до ввода</t>
        </is>
      </c>
      <c r="M4" s="5" t="inlineStr">
        <is>
          <t>Комментарий к риску</t>
        </is>
      </c>
      <c r="N4" s="5" t="inlineStr">
        <is>
          <t>Класс надежности</t>
        </is>
      </c>
    </row>
    <row r="5" ht="22" customHeight="1">
      <c r="A5" s="10" t="inlineStr">
        <is>
          <t>01</t>
        </is>
      </c>
      <c r="B5" s="6" t="inlineStr">
        <is>
          <t>Подготовка строительства и земля</t>
        </is>
      </c>
      <c r="C5" s="18">
        <f>SUM(C6,C7,C8,C9)</f>
        <v/>
      </c>
      <c r="D5" s="18">
        <f>SUM(D6,D7,D8,D9)</f>
        <v/>
      </c>
      <c r="E5" s="18">
        <f>D5-C5</f>
        <v/>
      </c>
      <c r="F5" s="19">
        <f>IF(AND(C5=0,D5=0),"—",IF(C5=0,"новая статья",E5/C5))</f>
        <v/>
      </c>
      <c r="G5" s="18">
        <f>SUM(G6,G7,G8,G9)</f>
        <v/>
      </c>
      <c r="H5" s="18">
        <f>SUM(H6,H7,H8,H9)</f>
        <v/>
      </c>
      <c r="I5" s="18">
        <f>SUM(I6,I7,I8,I9)</f>
        <v/>
      </c>
      <c r="J5" s="18">
        <f>G5+H5+I5-E5</f>
        <v/>
      </c>
      <c r="K5" s="6" t="n"/>
      <c r="L5" s="10" t="n"/>
      <c r="M5" s="6" t="n"/>
      <c r="N5" s="10" t="n"/>
    </row>
    <row r="6" outlineLevel="1" ht="22" customHeight="1">
      <c r="A6" s="13" t="inlineStr">
        <is>
          <t>01.01</t>
        </is>
      </c>
      <c r="B6" s="14" t="inlineStr">
        <is>
          <t>Градостроительная подготовка и права на земельный участок</t>
        </is>
      </c>
      <c r="C6" s="20" t="n"/>
      <c r="D6" s="20" t="n"/>
      <c r="E6" s="21">
        <f>D6-C6</f>
        <v/>
      </c>
      <c r="F6" s="22">
        <f>IF(AND(C6=0,D6=0),"—",IF(C6=0,"новая статья",E6/C6))</f>
        <v/>
      </c>
      <c r="G6" s="20" t="n"/>
      <c r="H6" s="20" t="n"/>
      <c r="I6" s="20" t="n"/>
      <c r="J6" s="21">
        <f>G6+H6+I6-E6</f>
        <v/>
      </c>
      <c r="K6" s="23" t="n"/>
      <c r="L6" s="24" t="n"/>
      <c r="M6" s="23" t="n"/>
      <c r="N6" s="24" t="n"/>
    </row>
    <row r="7" outlineLevel="1" ht="22" customHeight="1">
      <c r="A7" s="13" t="inlineStr">
        <is>
          <t>01.02</t>
        </is>
      </c>
      <c r="B7" s="14" t="inlineStr">
        <is>
          <t>Освобождение территории, снос и перенос существующих сетей</t>
        </is>
      </c>
      <c r="C7" s="20" t="n"/>
      <c r="D7" s="20" t="n"/>
      <c r="E7" s="21">
        <f>D7-C7</f>
        <v/>
      </c>
      <c r="F7" s="22">
        <f>IF(AND(C7=0,D7=0),"—",IF(C7=0,"новая статья",E7/C7))</f>
        <v/>
      </c>
      <c r="G7" s="20" t="n"/>
      <c r="H7" s="20" t="n"/>
      <c r="I7" s="20" t="n"/>
      <c r="J7" s="21">
        <f>G7+H7+I7-E7</f>
        <v/>
      </c>
      <c r="K7" s="23" t="n"/>
      <c r="L7" s="24" t="n"/>
      <c r="M7" s="23" t="n"/>
      <c r="N7" s="24" t="n"/>
    </row>
    <row r="8" outlineLevel="1" ht="22" customHeight="1">
      <c r="A8" s="13" t="inlineStr">
        <is>
          <t>01.03</t>
        </is>
      </c>
      <c r="B8" s="14" t="inlineStr">
        <is>
          <t>Земляные работы, котлован, крепление и водопонижение</t>
        </is>
      </c>
      <c r="C8" s="20" t="n"/>
      <c r="D8" s="20" t="n"/>
      <c r="E8" s="21">
        <f>D8-C8</f>
        <v/>
      </c>
      <c r="F8" s="22">
        <f>IF(AND(C8=0,D8=0),"—",IF(C8=0,"новая статья",E8/C8))</f>
        <v/>
      </c>
      <c r="G8" s="20" t="n"/>
      <c r="H8" s="20" t="n"/>
      <c r="I8" s="20" t="n"/>
      <c r="J8" s="21">
        <f>G8+H8+I8-E8</f>
        <v/>
      </c>
      <c r="K8" s="23" t="n"/>
      <c r="L8" s="24" t="n"/>
      <c r="M8" s="23" t="n"/>
      <c r="N8" s="24" t="n"/>
    </row>
    <row r="9" outlineLevel="1" ht="22" customHeight="1">
      <c r="A9" s="13" t="inlineStr">
        <is>
          <t>01.04</t>
        </is>
      </c>
      <c r="B9" s="14" t="inlineStr">
        <is>
          <t>Временная строительная инфраструктура площадки</t>
        </is>
      </c>
      <c r="C9" s="20" t="n"/>
      <c r="D9" s="20" t="n"/>
      <c r="E9" s="21">
        <f>D9-C9</f>
        <v/>
      </c>
      <c r="F9" s="22">
        <f>IF(AND(C9=0,D9=0),"—",IF(C9=0,"новая статья",E9/C9))</f>
        <v/>
      </c>
      <c r="G9" s="20" t="n"/>
      <c r="H9" s="20" t="n"/>
      <c r="I9" s="20" t="n"/>
      <c r="J9" s="21">
        <f>G9+H9+I9-E9</f>
        <v/>
      </c>
      <c r="K9" s="23" t="n"/>
      <c r="L9" s="24" t="n"/>
      <c r="M9" s="23" t="n"/>
      <c r="N9" s="24" t="n"/>
    </row>
    <row r="10" ht="22" customHeight="1">
      <c r="A10" s="10" t="inlineStr">
        <is>
          <t>02</t>
        </is>
      </c>
      <c r="B10" s="6" t="inlineStr">
        <is>
          <t>Проектно-изыскательские работы и авторский надзор</t>
        </is>
      </c>
      <c r="C10" s="18">
        <f>SUM(C11,C12,C13,C14,C15)</f>
        <v/>
      </c>
      <c r="D10" s="18">
        <f>SUM(D11,D12,D13,D14,D15)</f>
        <v/>
      </c>
      <c r="E10" s="18">
        <f>D10-C10</f>
        <v/>
      </c>
      <c r="F10" s="19">
        <f>IF(AND(C10=0,D10=0),"—",IF(C10=0,"новая статья",E10/C10))</f>
        <v/>
      </c>
      <c r="G10" s="18">
        <f>SUM(G11,G12,G13,G14,G15)</f>
        <v/>
      </c>
      <c r="H10" s="18">
        <f>SUM(H11,H12,H13,H14,H15)</f>
        <v/>
      </c>
      <c r="I10" s="18">
        <f>SUM(I11,I12,I13,I14,I15)</f>
        <v/>
      </c>
      <c r="J10" s="18">
        <f>G10+H10+I10-E10</f>
        <v/>
      </c>
      <c r="K10" s="6" t="n"/>
      <c r="L10" s="10" t="n"/>
      <c r="M10" s="6" t="n"/>
      <c r="N10" s="10" t="n"/>
    </row>
    <row r="11" outlineLevel="1" ht="22" customHeight="1">
      <c r="A11" s="13" t="inlineStr">
        <is>
          <t>02.01</t>
        </is>
      </c>
      <c r="B11" s="14" t="inlineStr">
        <is>
          <t>Инженерные изыскания</t>
        </is>
      </c>
      <c r="C11" s="20" t="n"/>
      <c r="D11" s="20" t="n"/>
      <c r="E11" s="21">
        <f>D11-C11</f>
        <v/>
      </c>
      <c r="F11" s="22">
        <f>IF(AND(C11=0,D11=0),"—",IF(C11=0,"новая статья",E11/C11))</f>
        <v/>
      </c>
      <c r="G11" s="20" t="n"/>
      <c r="H11" s="20" t="n"/>
      <c r="I11" s="20" t="n"/>
      <c r="J11" s="21">
        <f>G11+H11+I11-E11</f>
        <v/>
      </c>
      <c r="K11" s="23" t="n"/>
      <c r="L11" s="24" t="n"/>
      <c r="M11" s="23" t="n"/>
      <c r="N11" s="24" t="n"/>
    </row>
    <row r="12" outlineLevel="1" ht="22" customHeight="1">
      <c r="A12" s="13" t="inlineStr">
        <is>
          <t>02.02</t>
        </is>
      </c>
      <c r="B12" s="14" t="inlineStr">
        <is>
          <t>Проектная документация</t>
        </is>
      </c>
      <c r="C12" s="20" t="n"/>
      <c r="D12" s="20" t="n"/>
      <c r="E12" s="21">
        <f>D12-C12</f>
        <v/>
      </c>
      <c r="F12" s="22">
        <f>IF(AND(C12=0,D12=0),"—",IF(C12=0,"новая статья",E12/C12))</f>
        <v/>
      </c>
      <c r="G12" s="20" t="n"/>
      <c r="H12" s="20" t="n"/>
      <c r="I12" s="20" t="n"/>
      <c r="J12" s="21">
        <f>G12+H12+I12-E12</f>
        <v/>
      </c>
      <c r="K12" s="23" t="n"/>
      <c r="L12" s="24" t="n"/>
      <c r="M12" s="23" t="n"/>
      <c r="N12" s="24" t="n"/>
    </row>
    <row r="13" outlineLevel="1" ht="22" customHeight="1">
      <c r="A13" s="13" t="inlineStr">
        <is>
          <t>02.03</t>
        </is>
      </c>
      <c r="B13" s="14" t="inlineStr">
        <is>
          <t>Рабочая документация</t>
        </is>
      </c>
      <c r="C13" s="20" t="n"/>
      <c r="D13" s="20" t="n"/>
      <c r="E13" s="21">
        <f>D13-C13</f>
        <v/>
      </c>
      <c r="F13" s="22">
        <f>IF(AND(C13=0,D13=0),"—",IF(C13=0,"новая статья",E13/C13))</f>
        <v/>
      </c>
      <c r="G13" s="20" t="n"/>
      <c r="H13" s="20" t="n"/>
      <c r="I13" s="20" t="n"/>
      <c r="J13" s="21">
        <f>G13+H13+I13-E13</f>
        <v/>
      </c>
      <c r="K13" s="23" t="n"/>
      <c r="L13" s="24" t="n"/>
      <c r="M13" s="23" t="n"/>
      <c r="N13" s="24" t="n"/>
    </row>
    <row r="14" outlineLevel="1" ht="22" customHeight="1">
      <c r="A14" s="13" t="inlineStr">
        <is>
          <t>02.04</t>
        </is>
      </c>
      <c r="B14" s="14" t="inlineStr">
        <is>
          <t>Экспертиза проектной документации и результатов изысканий</t>
        </is>
      </c>
      <c r="C14" s="20" t="n"/>
      <c r="D14" s="20" t="n"/>
      <c r="E14" s="21">
        <f>D14-C14</f>
        <v/>
      </c>
      <c r="F14" s="22">
        <f>IF(AND(C14=0,D14=0),"—",IF(C14=0,"новая статья",E14/C14))</f>
        <v/>
      </c>
      <c r="G14" s="20" t="n"/>
      <c r="H14" s="20" t="n"/>
      <c r="I14" s="20" t="n"/>
      <c r="J14" s="21">
        <f>G14+H14+I14-E14</f>
        <v/>
      </c>
      <c r="K14" s="23" t="n"/>
      <c r="L14" s="24" t="n"/>
      <c r="M14" s="23" t="n"/>
      <c r="N14" s="24" t="n"/>
    </row>
    <row r="15" outlineLevel="1" ht="22" customHeight="1">
      <c r="A15" s="13" t="inlineStr">
        <is>
          <t>02.05</t>
        </is>
      </c>
      <c r="B15" s="14" t="inlineStr">
        <is>
          <t>Авторский надзор</t>
        </is>
      </c>
      <c r="C15" s="20" t="n"/>
      <c r="D15" s="20" t="n"/>
      <c r="E15" s="21">
        <f>D15-C15</f>
        <v/>
      </c>
      <c r="F15" s="22">
        <f>IF(AND(C15=0,D15=0),"—",IF(C15=0,"новая статья",E15/C15))</f>
        <v/>
      </c>
      <c r="G15" s="20" t="n"/>
      <c r="H15" s="20" t="n"/>
      <c r="I15" s="20" t="n"/>
      <c r="J15" s="21">
        <f>G15+H15+I15-E15</f>
        <v/>
      </c>
      <c r="K15" s="23" t="n"/>
      <c r="L15" s="24" t="n"/>
      <c r="M15" s="23" t="n"/>
      <c r="N15" s="24" t="n"/>
    </row>
    <row r="16" ht="22" customHeight="1">
      <c r="A16" s="10" t="inlineStr">
        <is>
          <t>03</t>
        </is>
      </c>
      <c r="B16" s="6" t="inlineStr">
        <is>
          <t>Строительно-монтажные работы</t>
        </is>
      </c>
      <c r="C16" s="18">
        <f>SUM(C17,C25,C31,C37)</f>
        <v/>
      </c>
      <c r="D16" s="18">
        <f>SUM(D17,D25,D31,D37)</f>
        <v/>
      </c>
      <c r="E16" s="18">
        <f>D16-C16</f>
        <v/>
      </c>
      <c r="F16" s="19">
        <f>IF(AND(C16=0,D16=0),"—",IF(C16=0,"новая статья",E16/C16))</f>
        <v/>
      </c>
      <c r="G16" s="18">
        <f>SUM(G17,G25,G31,G37)</f>
        <v/>
      </c>
      <c r="H16" s="18">
        <f>SUM(H17,H25,H31,H37)</f>
        <v/>
      </c>
      <c r="I16" s="18">
        <f>SUM(I17,I25,I31,I37)</f>
        <v/>
      </c>
      <c r="J16" s="18">
        <f>G16+H16+I16-E16</f>
        <v/>
      </c>
      <c r="K16" s="6" t="n"/>
      <c r="L16" s="10" t="n"/>
      <c r="M16" s="6" t="n"/>
      <c r="N16" s="10" t="n"/>
    </row>
    <row r="17" outlineLevel="1" ht="22" customHeight="1">
      <c r="A17" s="10" t="inlineStr">
        <is>
          <t>03.01</t>
        </is>
      </c>
      <c r="B17" s="15" t="inlineStr">
        <is>
          <t>Общестроительные работы и конструктив</t>
        </is>
      </c>
      <c r="C17" s="18">
        <f>SUM(C18,C19,C20,C21,C22,C23,C24)</f>
        <v/>
      </c>
      <c r="D17" s="18">
        <f>SUM(D18,D19,D20,D21,D22,D23,D24)</f>
        <v/>
      </c>
      <c r="E17" s="18">
        <f>D17-C17</f>
        <v/>
      </c>
      <c r="F17" s="19">
        <f>IF(AND(C17=0,D17=0),"—",IF(C17=0,"новая статья",E17/C17))</f>
        <v/>
      </c>
      <c r="G17" s="18">
        <f>SUM(G18,G19,G20,G21,G22,G23,G24)</f>
        <v/>
      </c>
      <c r="H17" s="18">
        <f>SUM(H18,H19,H20,H21,H22,H23,H24)</f>
        <v/>
      </c>
      <c r="I17" s="18">
        <f>SUM(I18,I19,I20,I21,I22,I23,I24)</f>
        <v/>
      </c>
      <c r="J17" s="18">
        <f>G17+H17+I17-E17</f>
        <v/>
      </c>
      <c r="K17" s="6" t="n"/>
      <c r="L17" s="10" t="n"/>
      <c r="M17" s="6" t="n"/>
      <c r="N17" s="10" t="n"/>
    </row>
    <row r="18" outlineLevel="2" ht="22" customHeight="1">
      <c r="A18" s="13" t="inlineStr">
        <is>
          <t>03.01.01</t>
        </is>
      </c>
      <c r="B18" s="16" t="inlineStr">
        <is>
          <t>Фундаменты и подземная часть</t>
        </is>
      </c>
      <c r="C18" s="20" t="n"/>
      <c r="D18" s="20" t="n"/>
      <c r="E18" s="21">
        <f>D18-C18</f>
        <v/>
      </c>
      <c r="F18" s="22">
        <f>IF(AND(C18=0,D18=0),"—",IF(C18=0,"новая статья",E18/C18))</f>
        <v/>
      </c>
      <c r="G18" s="20" t="n"/>
      <c r="H18" s="20" t="n"/>
      <c r="I18" s="20" t="n"/>
      <c r="J18" s="21">
        <f>G18+H18+I18-E18</f>
        <v/>
      </c>
      <c r="K18" s="23" t="n"/>
      <c r="L18" s="24" t="n"/>
      <c r="M18" s="23" t="n"/>
      <c r="N18" s="24" t="n"/>
    </row>
    <row r="19" outlineLevel="2" ht="22" customHeight="1">
      <c r="A19" s="13" t="inlineStr">
        <is>
          <t>03.01.02</t>
        </is>
      </c>
      <c r="B19" s="16" t="inlineStr">
        <is>
          <t>Несущий каркас</t>
        </is>
      </c>
      <c r="C19" s="20" t="n"/>
      <c r="D19" s="20" t="n"/>
      <c r="E19" s="21">
        <f>D19-C19</f>
        <v/>
      </c>
      <c r="F19" s="22">
        <f>IF(AND(C19=0,D19=0),"—",IF(C19=0,"новая статья",E19/C19))</f>
        <v/>
      </c>
      <c r="G19" s="20" t="n"/>
      <c r="H19" s="20" t="n"/>
      <c r="I19" s="20" t="n"/>
      <c r="J19" s="21">
        <f>G19+H19+I19-E19</f>
        <v/>
      </c>
      <c r="K19" s="23" t="n"/>
      <c r="L19" s="24" t="n"/>
      <c r="M19" s="23" t="n"/>
      <c r="N19" s="24" t="n"/>
    </row>
    <row r="20" outlineLevel="2" ht="22" customHeight="1">
      <c r="A20" s="13" t="inlineStr">
        <is>
          <t>03.01.03</t>
        </is>
      </c>
      <c r="B20" s="16" t="inlineStr">
        <is>
          <t>Стены и перегородки</t>
        </is>
      </c>
      <c r="C20" s="20" t="n"/>
      <c r="D20" s="20" t="n"/>
      <c r="E20" s="21">
        <f>D20-C20</f>
        <v/>
      </c>
      <c r="F20" s="22">
        <f>IF(AND(C20=0,D20=0),"—",IF(C20=0,"новая статья",E20/C20))</f>
        <v/>
      </c>
      <c r="G20" s="20" t="n"/>
      <c r="H20" s="20" t="n"/>
      <c r="I20" s="20" t="n"/>
      <c r="J20" s="21">
        <f>G20+H20+I20-E20</f>
        <v/>
      </c>
      <c r="K20" s="23" t="n"/>
      <c r="L20" s="24" t="n"/>
      <c r="M20" s="23" t="n"/>
      <c r="N20" s="24" t="n"/>
    </row>
    <row r="21" outlineLevel="2" ht="22" customHeight="1">
      <c r="A21" s="13" t="inlineStr">
        <is>
          <t>03.01.04</t>
        </is>
      </c>
      <c r="B21" s="16" t="inlineStr">
        <is>
          <t>Фасады и кровля</t>
        </is>
      </c>
      <c r="C21" s="20" t="n"/>
      <c r="D21" s="20" t="n"/>
      <c r="E21" s="21">
        <f>D21-C21</f>
        <v/>
      </c>
      <c r="F21" s="22">
        <f>IF(AND(C21=0,D21=0),"—",IF(C21=0,"новая статья",E21/C21))</f>
        <v/>
      </c>
      <c r="G21" s="20" t="n"/>
      <c r="H21" s="20" t="n"/>
      <c r="I21" s="20" t="n"/>
      <c r="J21" s="21">
        <f>G21+H21+I21-E21</f>
        <v/>
      </c>
      <c r="K21" s="23" t="n"/>
      <c r="L21" s="24" t="n"/>
      <c r="M21" s="23" t="n"/>
      <c r="N21" s="24" t="n"/>
    </row>
    <row r="22" outlineLevel="2" ht="22" customHeight="1">
      <c r="A22" s="13" t="inlineStr">
        <is>
          <t>03.01.05</t>
        </is>
      </c>
      <c r="B22" s="16" t="inlineStr">
        <is>
          <t>Окна, двери и светопрозрачные конструкции</t>
        </is>
      </c>
      <c r="C22" s="20" t="n"/>
      <c r="D22" s="20" t="n"/>
      <c r="E22" s="21">
        <f>D22-C22</f>
        <v/>
      </c>
      <c r="F22" s="22">
        <f>IF(AND(C22=0,D22=0),"—",IF(C22=0,"новая статья",E22/C22))</f>
        <v/>
      </c>
      <c r="G22" s="20" t="n"/>
      <c r="H22" s="20" t="n"/>
      <c r="I22" s="20" t="n"/>
      <c r="J22" s="21">
        <f>G22+H22+I22-E22</f>
        <v/>
      </c>
      <c r="K22" s="23" t="n"/>
      <c r="L22" s="24" t="n"/>
      <c r="M22" s="23" t="n"/>
      <c r="N22" s="24" t="n"/>
    </row>
    <row r="23" outlineLevel="2" ht="22" customHeight="1">
      <c r="A23" s="13" t="inlineStr">
        <is>
          <t>03.01.06</t>
        </is>
      </c>
      <c r="B23" s="16" t="inlineStr">
        <is>
          <t>Внутренняя черновая отделка</t>
        </is>
      </c>
      <c r="C23" s="20" t="n"/>
      <c r="D23" s="20" t="n"/>
      <c r="E23" s="21">
        <f>D23-C23</f>
        <v/>
      </c>
      <c r="F23" s="22">
        <f>IF(AND(C23=0,D23=0),"—",IF(C23=0,"новая статья",E23/C23))</f>
        <v/>
      </c>
      <c r="G23" s="20" t="n"/>
      <c r="H23" s="20" t="n"/>
      <c r="I23" s="20" t="n"/>
      <c r="J23" s="21">
        <f>G23+H23+I23-E23</f>
        <v/>
      </c>
      <c r="K23" s="23" t="n"/>
      <c r="L23" s="24" t="n"/>
      <c r="M23" s="23" t="n"/>
      <c r="N23" s="24" t="n"/>
    </row>
    <row r="24" outlineLevel="2" ht="22" customHeight="1">
      <c r="A24" s="13" t="inlineStr">
        <is>
          <t>03.01.07</t>
        </is>
      </c>
      <c r="B24" s="16" t="inlineStr">
        <is>
          <t>Лифты и подъемное оборудование</t>
        </is>
      </c>
      <c r="C24" s="20" t="n"/>
      <c r="D24" s="20" t="n"/>
      <c r="E24" s="21">
        <f>D24-C24</f>
        <v/>
      </c>
      <c r="F24" s="22">
        <f>IF(AND(C24=0,D24=0),"—",IF(C24=0,"новая статья",E24/C24))</f>
        <v/>
      </c>
      <c r="G24" s="20" t="n"/>
      <c r="H24" s="20" t="n"/>
      <c r="I24" s="20" t="n"/>
      <c r="J24" s="21">
        <f>G24+H24+I24-E24</f>
        <v/>
      </c>
      <c r="K24" s="23" t="n"/>
      <c r="L24" s="24" t="n"/>
      <c r="M24" s="23" t="n"/>
      <c r="N24" s="24" t="n"/>
    </row>
    <row r="25" outlineLevel="1" ht="22" customHeight="1">
      <c r="A25" s="10" t="inlineStr">
        <is>
          <t>03.02</t>
        </is>
      </c>
      <c r="B25" s="15" t="inlineStr">
        <is>
          <t>Внутренние инженерные системы</t>
        </is>
      </c>
      <c r="C25" s="18">
        <f>SUM(C26,C27,C28,C29,C30)</f>
        <v/>
      </c>
      <c r="D25" s="18">
        <f>SUM(D26,D27,D28,D29,D30)</f>
        <v/>
      </c>
      <c r="E25" s="18">
        <f>D25-C25</f>
        <v/>
      </c>
      <c r="F25" s="19">
        <f>IF(AND(C25=0,D25=0),"—",IF(C25=0,"новая статья",E25/C25))</f>
        <v/>
      </c>
      <c r="G25" s="18">
        <f>SUM(G26,G27,G28,G29,G30)</f>
        <v/>
      </c>
      <c r="H25" s="18">
        <f>SUM(H26,H27,H28,H29,H30)</f>
        <v/>
      </c>
      <c r="I25" s="18">
        <f>SUM(I26,I27,I28,I29,I30)</f>
        <v/>
      </c>
      <c r="J25" s="18">
        <f>G25+H25+I25-E25</f>
        <v/>
      </c>
      <c r="K25" s="6" t="n"/>
      <c r="L25" s="10" t="n"/>
      <c r="M25" s="6" t="n"/>
      <c r="N25" s="10" t="n"/>
    </row>
    <row r="26" outlineLevel="2" ht="22" customHeight="1">
      <c r="A26" s="13" t="inlineStr">
        <is>
          <t>03.02.01</t>
        </is>
      </c>
      <c r="B26" s="16" t="inlineStr">
        <is>
          <t>Отопление, вентиляция и кондиционирование</t>
        </is>
      </c>
      <c r="C26" s="20" t="n"/>
      <c r="D26" s="20" t="n"/>
      <c r="E26" s="21">
        <f>D26-C26</f>
        <v/>
      </c>
      <c r="F26" s="22">
        <f>IF(AND(C26=0,D26=0),"—",IF(C26=0,"новая статья",E26/C26))</f>
        <v/>
      </c>
      <c r="G26" s="20" t="n"/>
      <c r="H26" s="20" t="n"/>
      <c r="I26" s="20" t="n"/>
      <c r="J26" s="21">
        <f>G26+H26+I26-E26</f>
        <v/>
      </c>
      <c r="K26" s="23" t="n"/>
      <c r="L26" s="24" t="n"/>
      <c r="M26" s="23" t="n"/>
      <c r="N26" s="24" t="n"/>
    </row>
    <row r="27" outlineLevel="2" ht="22" customHeight="1">
      <c r="A27" s="13" t="inlineStr">
        <is>
          <t>03.02.02</t>
        </is>
      </c>
      <c r="B27" s="16" t="inlineStr">
        <is>
          <t>Водоснабжение и водоотведение</t>
        </is>
      </c>
      <c r="C27" s="20" t="n"/>
      <c r="D27" s="20" t="n"/>
      <c r="E27" s="21">
        <f>D27-C27</f>
        <v/>
      </c>
      <c r="F27" s="22">
        <f>IF(AND(C27=0,D27=0),"—",IF(C27=0,"новая статья",E27/C27))</f>
        <v/>
      </c>
      <c r="G27" s="20" t="n"/>
      <c r="H27" s="20" t="n"/>
      <c r="I27" s="20" t="n"/>
      <c r="J27" s="21">
        <f>G27+H27+I27-E27</f>
        <v/>
      </c>
      <c r="K27" s="23" t="n"/>
      <c r="L27" s="24" t="n"/>
      <c r="M27" s="23" t="n"/>
      <c r="N27" s="24" t="n"/>
    </row>
    <row r="28" outlineLevel="2" ht="22" customHeight="1">
      <c r="A28" s="13" t="inlineStr">
        <is>
          <t>03.02.03</t>
        </is>
      </c>
      <c r="B28" s="16" t="inlineStr">
        <is>
          <t>Электрооборудование, электроосвещение и молниезащита</t>
        </is>
      </c>
      <c r="C28" s="20" t="n"/>
      <c r="D28" s="20" t="n"/>
      <c r="E28" s="21">
        <f>D28-C28</f>
        <v/>
      </c>
      <c r="F28" s="22">
        <f>IF(AND(C28=0,D28=0),"—",IF(C28=0,"новая статья",E28/C28))</f>
        <v/>
      </c>
      <c r="G28" s="20" t="n"/>
      <c r="H28" s="20" t="n"/>
      <c r="I28" s="20" t="n"/>
      <c r="J28" s="21">
        <f>G28+H28+I28-E28</f>
        <v/>
      </c>
      <c r="K28" s="23" t="n"/>
      <c r="L28" s="24" t="n"/>
      <c r="M28" s="23" t="n"/>
      <c r="N28" s="24" t="n"/>
    </row>
    <row r="29" outlineLevel="2" ht="22" customHeight="1">
      <c r="A29" s="13" t="inlineStr">
        <is>
          <t>03.02.04</t>
        </is>
      </c>
      <c r="B29" s="16" t="inlineStr">
        <is>
          <t>Сети связи, АПС, СОУЭ, СКУД, автоматизация и диспетчеризация</t>
        </is>
      </c>
      <c r="C29" s="20" t="n"/>
      <c r="D29" s="20" t="n"/>
      <c r="E29" s="21">
        <f>D29-C29</f>
        <v/>
      </c>
      <c r="F29" s="22">
        <f>IF(AND(C29=0,D29=0),"—",IF(C29=0,"новая статья",E29/C29))</f>
        <v/>
      </c>
      <c r="G29" s="20" t="n"/>
      <c r="H29" s="20" t="n"/>
      <c r="I29" s="20" t="n"/>
      <c r="J29" s="21">
        <f>G29+H29+I29-E29</f>
        <v/>
      </c>
      <c r="K29" s="23" t="n"/>
      <c r="L29" s="24" t="n"/>
      <c r="M29" s="23" t="n"/>
      <c r="N29" s="24" t="n"/>
    </row>
    <row r="30" outlineLevel="2" ht="22" customHeight="1">
      <c r="A30" s="13" t="inlineStr">
        <is>
          <t>03.02.05</t>
        </is>
      </c>
      <c r="B30" s="16" t="inlineStr">
        <is>
          <t>Системы противопожарной защиты и прочие внутренние системы</t>
        </is>
      </c>
      <c r="C30" s="20" t="n"/>
      <c r="D30" s="20" t="n"/>
      <c r="E30" s="21">
        <f>D30-C30</f>
        <v/>
      </c>
      <c r="F30" s="22">
        <f>IF(AND(C30=0,D30=0),"—",IF(C30=0,"новая статья",E30/C30))</f>
        <v/>
      </c>
      <c r="G30" s="20" t="n"/>
      <c r="H30" s="20" t="n"/>
      <c r="I30" s="20" t="n"/>
      <c r="J30" s="21">
        <f>G30+H30+I30-E30</f>
        <v/>
      </c>
      <c r="K30" s="23" t="n"/>
      <c r="L30" s="24" t="n"/>
      <c r="M30" s="23" t="n"/>
      <c r="N30" s="24" t="n"/>
    </row>
    <row r="31" outlineLevel="1" ht="22" customHeight="1">
      <c r="A31" s="10" t="inlineStr">
        <is>
          <t>03.03</t>
        </is>
      </c>
      <c r="B31" s="15" t="inlineStr">
        <is>
          <t>Наружные инженерные сети и благоустройство</t>
        </is>
      </c>
      <c r="C31" s="18">
        <f>SUM(C32,C33,C34,C35,C36)</f>
        <v/>
      </c>
      <c r="D31" s="18">
        <f>SUM(D32,D33,D34,D35,D36)</f>
        <v/>
      </c>
      <c r="E31" s="18">
        <f>D31-C31</f>
        <v/>
      </c>
      <c r="F31" s="19">
        <f>IF(AND(C31=0,D31=0),"—",IF(C31=0,"новая статья",E31/C31))</f>
        <v/>
      </c>
      <c r="G31" s="18">
        <f>SUM(G32,G33,G34,G35,G36)</f>
        <v/>
      </c>
      <c r="H31" s="18">
        <f>SUM(H32,H33,H34,H35,H36)</f>
        <v/>
      </c>
      <c r="I31" s="18">
        <f>SUM(I32,I33,I34,I35,I36)</f>
        <v/>
      </c>
      <c r="J31" s="18">
        <f>G31+H31+I31-E31</f>
        <v/>
      </c>
      <c r="K31" s="6" t="n"/>
      <c r="L31" s="10" t="n"/>
      <c r="M31" s="6" t="n"/>
      <c r="N31" s="10" t="n"/>
    </row>
    <row r="32" outlineLevel="2" ht="22" customHeight="1">
      <c r="A32" s="13" t="inlineStr">
        <is>
          <t>03.03.01</t>
        </is>
      </c>
      <c r="B32" s="16" t="inlineStr">
        <is>
          <t>Наружные сети водоснабжения, водоотведения и ливневой канализации</t>
        </is>
      </c>
      <c r="C32" s="20" t="n"/>
      <c r="D32" s="20" t="n"/>
      <c r="E32" s="21">
        <f>D32-C32</f>
        <v/>
      </c>
      <c r="F32" s="22">
        <f>IF(AND(C32=0,D32=0),"—",IF(C32=0,"новая статья",E32/C32))</f>
        <v/>
      </c>
      <c r="G32" s="20" t="n"/>
      <c r="H32" s="20" t="n"/>
      <c r="I32" s="20" t="n"/>
      <c r="J32" s="21">
        <f>G32+H32+I32-E32</f>
        <v/>
      </c>
      <c r="K32" s="23" t="n"/>
      <c r="L32" s="24" t="n"/>
      <c r="M32" s="23" t="n"/>
      <c r="N32" s="24" t="n"/>
    </row>
    <row r="33" outlineLevel="2" ht="22" customHeight="1">
      <c r="A33" s="13" t="inlineStr">
        <is>
          <t>03.03.02</t>
        </is>
      </c>
      <c r="B33" s="16" t="inlineStr">
        <is>
          <t>Наружные сети теплоснабжения</t>
        </is>
      </c>
      <c r="C33" s="20" t="n"/>
      <c r="D33" s="20" t="n"/>
      <c r="E33" s="21">
        <f>D33-C33</f>
        <v/>
      </c>
      <c r="F33" s="22">
        <f>IF(AND(C33=0,D33=0),"—",IF(C33=0,"новая статья",E33/C33))</f>
        <v/>
      </c>
      <c r="G33" s="20" t="n"/>
      <c r="H33" s="20" t="n"/>
      <c r="I33" s="20" t="n"/>
      <c r="J33" s="21">
        <f>G33+H33+I33-E33</f>
        <v/>
      </c>
      <c r="K33" s="23" t="n"/>
      <c r="L33" s="24" t="n"/>
      <c r="M33" s="23" t="n"/>
      <c r="N33" s="24" t="n"/>
    </row>
    <row r="34" outlineLevel="2" ht="22" customHeight="1">
      <c r="A34" s="13" t="inlineStr">
        <is>
          <t>03.03.03</t>
        </is>
      </c>
      <c r="B34" s="16" t="inlineStr">
        <is>
          <t>Наружное электроснабжение и трансформаторные подстанции</t>
        </is>
      </c>
      <c r="C34" s="20" t="n"/>
      <c r="D34" s="20" t="n"/>
      <c r="E34" s="21">
        <f>D34-C34</f>
        <v/>
      </c>
      <c r="F34" s="22">
        <f>IF(AND(C34=0,D34=0),"—",IF(C34=0,"новая статья",E34/C34))</f>
        <v/>
      </c>
      <c r="G34" s="20" t="n"/>
      <c r="H34" s="20" t="n"/>
      <c r="I34" s="20" t="n"/>
      <c r="J34" s="21">
        <f>G34+H34+I34-E34</f>
        <v/>
      </c>
      <c r="K34" s="23" t="n"/>
      <c r="L34" s="24" t="n"/>
      <c r="M34" s="23" t="n"/>
      <c r="N34" s="24" t="n"/>
    </row>
    <row r="35" outlineLevel="2" ht="22" customHeight="1">
      <c r="A35" s="13" t="inlineStr">
        <is>
          <t>03.03.04</t>
        </is>
      </c>
      <c r="B35" s="16" t="inlineStr">
        <is>
          <t>Наружные сети связи</t>
        </is>
      </c>
      <c r="C35" s="20" t="n"/>
      <c r="D35" s="20" t="n"/>
      <c r="E35" s="21">
        <f>D35-C35</f>
        <v/>
      </c>
      <c r="F35" s="22">
        <f>IF(AND(C35=0,D35=0),"—",IF(C35=0,"новая статья",E35/C35))</f>
        <v/>
      </c>
      <c r="G35" s="20" t="n"/>
      <c r="H35" s="20" t="n"/>
      <c r="I35" s="20" t="n"/>
      <c r="J35" s="21">
        <f>G35+H35+I35-E35</f>
        <v/>
      </c>
      <c r="K35" s="23" t="n"/>
      <c r="L35" s="24" t="n"/>
      <c r="M35" s="23" t="n"/>
      <c r="N35" s="24" t="n"/>
    </row>
    <row r="36" outlineLevel="2" ht="22" customHeight="1">
      <c r="A36" s="13" t="inlineStr">
        <is>
          <t>03.03.05</t>
        </is>
      </c>
      <c r="B36" s="16" t="inlineStr">
        <is>
          <t>Дороги, благоустройство и малые архитектурные формы</t>
        </is>
      </c>
      <c r="C36" s="20" t="n"/>
      <c r="D36" s="20" t="n"/>
      <c r="E36" s="21">
        <f>D36-C36</f>
        <v/>
      </c>
      <c r="F36" s="22">
        <f>IF(AND(C36=0,D36=0),"—",IF(C36=0,"новая статья",E36/C36))</f>
        <v/>
      </c>
      <c r="G36" s="20" t="n"/>
      <c r="H36" s="20" t="n"/>
      <c r="I36" s="20" t="n"/>
      <c r="J36" s="21">
        <f>G36+H36+I36-E36</f>
        <v/>
      </c>
      <c r="K36" s="23" t="n"/>
      <c r="L36" s="24" t="n"/>
      <c r="M36" s="23" t="n"/>
      <c r="N36" s="24" t="n"/>
    </row>
    <row r="37" outlineLevel="1" ht="22" customHeight="1">
      <c r="A37" s="13" t="inlineStr">
        <is>
          <t>03.04</t>
        </is>
      </c>
      <c r="B37" s="14" t="inlineStr">
        <is>
          <t>Технологическое оборудование и пусконаладка</t>
        </is>
      </c>
      <c r="C37" s="20" t="n"/>
      <c r="D37" s="20" t="n"/>
      <c r="E37" s="21">
        <f>D37-C37</f>
        <v/>
      </c>
      <c r="F37" s="22">
        <f>IF(AND(C37=0,D37=0),"—",IF(C37=0,"новая статья",E37/C37))</f>
        <v/>
      </c>
      <c r="G37" s="20" t="n"/>
      <c r="H37" s="20" t="n"/>
      <c r="I37" s="20" t="n"/>
      <c r="J37" s="21">
        <f>G37+H37+I37-E37</f>
        <v/>
      </c>
      <c r="K37" s="23" t="n"/>
      <c r="L37" s="24" t="n"/>
      <c r="M37" s="23" t="n"/>
      <c r="N37" s="24" t="n"/>
    </row>
    <row r="38" ht="22" customHeight="1">
      <c r="A38" s="10" t="inlineStr">
        <is>
          <t>04</t>
        </is>
      </c>
      <c r="B38" s="6" t="inlineStr">
        <is>
          <t>Затраты на управление проектом</t>
        </is>
      </c>
      <c r="C38" s="18">
        <f>SUM(C39,C40,C41)</f>
        <v/>
      </c>
      <c r="D38" s="18">
        <f>SUM(D39,D40,D41)</f>
        <v/>
      </c>
      <c r="E38" s="18">
        <f>D38-C38</f>
        <v/>
      </c>
      <c r="F38" s="19">
        <f>IF(AND(C38=0,D38=0),"—",IF(C38=0,"новая статья",E38/C38))</f>
        <v/>
      </c>
      <c r="G38" s="18">
        <f>SUM(G39,G40,G41)</f>
        <v/>
      </c>
      <c r="H38" s="18">
        <f>SUM(H39,H40,H41)</f>
        <v/>
      </c>
      <c r="I38" s="18">
        <f>SUM(I39,I40,I41)</f>
        <v/>
      </c>
      <c r="J38" s="18">
        <f>G38+H38+I38-E38</f>
        <v/>
      </c>
      <c r="K38" s="6" t="n"/>
      <c r="L38" s="10" t="n"/>
      <c r="M38" s="6" t="n"/>
      <c r="N38" s="10" t="n"/>
    </row>
    <row r="39" outlineLevel="1" ht="22" customHeight="1">
      <c r="A39" s="13" t="inlineStr">
        <is>
          <t>04.01</t>
        </is>
      </c>
      <c r="B39" s="14" t="inlineStr">
        <is>
          <t>Служба заказчика и технический заказчик</t>
        </is>
      </c>
      <c r="C39" s="20" t="n"/>
      <c r="D39" s="20" t="n"/>
      <c r="E39" s="21">
        <f>D39-C39</f>
        <v/>
      </c>
      <c r="F39" s="22">
        <f>IF(AND(C39=0,D39=0),"—",IF(C39=0,"новая статья",E39/C39))</f>
        <v/>
      </c>
      <c r="G39" s="20" t="n"/>
      <c r="H39" s="20" t="n"/>
      <c r="I39" s="20" t="n"/>
      <c r="J39" s="21">
        <f>G39+H39+I39-E39</f>
        <v/>
      </c>
      <c r="K39" s="23" t="n"/>
      <c r="L39" s="24" t="n"/>
      <c r="M39" s="23" t="n"/>
      <c r="N39" s="24" t="n"/>
    </row>
    <row r="40" outlineLevel="1" ht="22" customHeight="1">
      <c r="A40" s="13" t="inlineStr">
        <is>
          <t>04.02</t>
        </is>
      </c>
      <c r="B40" s="14" t="inlineStr">
        <is>
          <t>Вознаграждение генподрядчика либо управляющего строительством</t>
        </is>
      </c>
      <c r="C40" s="20" t="n"/>
      <c r="D40" s="20" t="n"/>
      <c r="E40" s="21">
        <f>D40-C40</f>
        <v/>
      </c>
      <c r="F40" s="22">
        <f>IF(AND(C40=0,D40=0),"—",IF(C40=0,"новая статья",E40/C40))</f>
        <v/>
      </c>
      <c r="G40" s="20" t="n"/>
      <c r="H40" s="20" t="n"/>
      <c r="I40" s="20" t="n"/>
      <c r="J40" s="21">
        <f>G40+H40+I40-E40</f>
        <v/>
      </c>
      <c r="K40" s="23" t="n"/>
      <c r="L40" s="24" t="n"/>
      <c r="M40" s="23" t="n"/>
      <c r="N40" s="24" t="n"/>
    </row>
    <row r="41" outlineLevel="1" ht="22" customHeight="1">
      <c r="A41" s="13" t="inlineStr">
        <is>
          <t>04.03</t>
        </is>
      </c>
      <c r="B41" s="14" t="inlineStr">
        <is>
          <t>Строительный контроль, охрана труда, качество и охрана площадки</t>
        </is>
      </c>
      <c r="C41" s="20" t="n"/>
      <c r="D41" s="20" t="n"/>
      <c r="E41" s="21">
        <f>D41-C41</f>
        <v/>
      </c>
      <c r="F41" s="22">
        <f>IF(AND(C41=0,D41=0),"—",IF(C41=0,"новая статья",E41/C41))</f>
        <v/>
      </c>
      <c r="G41" s="20" t="n"/>
      <c r="H41" s="20" t="n"/>
      <c r="I41" s="20" t="n"/>
      <c r="J41" s="21">
        <f>G41+H41+I41-E41</f>
        <v/>
      </c>
      <c r="K41" s="23" t="n"/>
      <c r="L41" s="24" t="n"/>
      <c r="M41" s="23" t="n"/>
      <c r="N41" s="24" t="n"/>
    </row>
    <row r="42" ht="22" customHeight="1">
      <c r="A42" s="10" t="inlineStr">
        <is>
          <t>05</t>
        </is>
      </c>
      <c r="B42" s="6" t="inlineStr">
        <is>
          <t>Коммерческие и маркетинговые расходы</t>
        </is>
      </c>
      <c r="C42" s="18">
        <f>SUM(C43,C44,C45)</f>
        <v/>
      </c>
      <c r="D42" s="18">
        <f>SUM(D43,D44,D45)</f>
        <v/>
      </c>
      <c r="E42" s="18">
        <f>D42-C42</f>
        <v/>
      </c>
      <c r="F42" s="19">
        <f>IF(AND(C42=0,D42=0),"—",IF(C42=0,"новая статья",E42/C42))</f>
        <v/>
      </c>
      <c r="G42" s="18">
        <f>SUM(G43,G44,G45)</f>
        <v/>
      </c>
      <c r="H42" s="18">
        <f>SUM(H43,H44,H45)</f>
        <v/>
      </c>
      <c r="I42" s="18">
        <f>SUM(I43,I44,I45)</f>
        <v/>
      </c>
      <c r="J42" s="18">
        <f>G42+H42+I42-E42</f>
        <v/>
      </c>
      <c r="K42" s="6" t="n"/>
      <c r="L42" s="10" t="n"/>
      <c r="M42" s="6" t="n"/>
      <c r="N42" s="10" t="n"/>
    </row>
    <row r="43" outlineLevel="1" ht="22" customHeight="1">
      <c r="A43" s="13" t="inlineStr">
        <is>
          <t>05.01</t>
        </is>
      </c>
      <c r="B43" s="14" t="inlineStr">
        <is>
          <t>Продвижение и реклама</t>
        </is>
      </c>
      <c r="C43" s="20" t="n"/>
      <c r="D43" s="20" t="n"/>
      <c r="E43" s="21">
        <f>D43-C43</f>
        <v/>
      </c>
      <c r="F43" s="22">
        <f>IF(AND(C43=0,D43=0),"—",IF(C43=0,"новая статья",E43/C43))</f>
        <v/>
      </c>
      <c r="G43" s="20" t="n"/>
      <c r="H43" s="20" t="n"/>
      <c r="I43" s="20" t="n"/>
      <c r="J43" s="21">
        <f>G43+H43+I43-E43</f>
        <v/>
      </c>
      <c r="K43" s="23" t="n"/>
      <c r="L43" s="24" t="n"/>
      <c r="M43" s="23" t="n"/>
      <c r="N43" s="24" t="n"/>
    </row>
    <row r="44" outlineLevel="1" ht="22" customHeight="1">
      <c r="A44" s="13" t="inlineStr">
        <is>
          <t>05.02</t>
        </is>
      </c>
      <c r="B44" s="14" t="inlineStr">
        <is>
          <t>Офис продаж и демонстрационные площади</t>
        </is>
      </c>
      <c r="C44" s="20" t="n"/>
      <c r="D44" s="20" t="n"/>
      <c r="E44" s="21">
        <f>D44-C44</f>
        <v/>
      </c>
      <c r="F44" s="22">
        <f>IF(AND(C44=0,D44=0),"—",IF(C44=0,"новая статья",E44/C44))</f>
        <v/>
      </c>
      <c r="G44" s="20" t="n"/>
      <c r="H44" s="20" t="n"/>
      <c r="I44" s="20" t="n"/>
      <c r="J44" s="21">
        <f>G44+H44+I44-E44</f>
        <v/>
      </c>
      <c r="K44" s="23" t="n"/>
      <c r="L44" s="24" t="n"/>
      <c r="M44" s="23" t="n"/>
      <c r="N44" s="24" t="n"/>
    </row>
    <row r="45" outlineLevel="1" ht="22" customHeight="1">
      <c r="A45" s="13" t="inlineStr">
        <is>
          <t>05.03</t>
        </is>
      </c>
      <c r="B45" s="14" t="inlineStr">
        <is>
          <t>Вознаграждение брокеров и каналов продаж</t>
        </is>
      </c>
      <c r="C45" s="20" t="n"/>
      <c r="D45" s="20" t="n"/>
      <c r="E45" s="21">
        <f>D45-C45</f>
        <v/>
      </c>
      <c r="F45" s="22">
        <f>IF(AND(C45=0,D45=0),"—",IF(C45=0,"новая статья",E45/C45))</f>
        <v/>
      </c>
      <c r="G45" s="20" t="n"/>
      <c r="H45" s="20" t="n"/>
      <c r="I45" s="20" t="n"/>
      <c r="J45" s="21">
        <f>G45+H45+I45-E45</f>
        <v/>
      </c>
      <c r="K45" s="23" t="n"/>
      <c r="L45" s="24" t="n"/>
      <c r="M45" s="23" t="n"/>
      <c r="N45" s="24" t="n"/>
    </row>
    <row r="46" ht="22" customHeight="1">
      <c r="A46" s="10" t="inlineStr">
        <is>
          <t>06</t>
        </is>
      </c>
      <c r="B46" s="6" t="inlineStr">
        <is>
          <t>Финансовые и прочие затраты</t>
        </is>
      </c>
      <c r="C46" s="18">
        <f>SUM(C47,C48,C49,C50)</f>
        <v/>
      </c>
      <c r="D46" s="18">
        <f>SUM(D47,D48,D49,D50)</f>
        <v/>
      </c>
      <c r="E46" s="18">
        <f>D46-C46</f>
        <v/>
      </c>
      <c r="F46" s="19">
        <f>IF(AND(C46=0,D46=0),"—",IF(C46=0,"новая статья",E46/C46))</f>
        <v/>
      </c>
      <c r="G46" s="18">
        <f>SUM(G47,G48,G49,G50)</f>
        <v/>
      </c>
      <c r="H46" s="18">
        <f>SUM(H47,H48,H49,H50)</f>
        <v/>
      </c>
      <c r="I46" s="18">
        <f>SUM(I47,I48,I49,I50)</f>
        <v/>
      </c>
      <c r="J46" s="18">
        <f>G46+H46+I46-E46</f>
        <v/>
      </c>
      <c r="K46" s="6" t="n"/>
      <c r="L46" s="10" t="n"/>
      <c r="M46" s="6" t="n"/>
      <c r="N46" s="10" t="n"/>
    </row>
    <row r="47" outlineLevel="1" ht="22" customHeight="1">
      <c r="A47" s="13" t="inlineStr">
        <is>
          <t>06.01</t>
        </is>
      </c>
      <c r="B47" s="14" t="inlineStr">
        <is>
          <t>Проценты на инвестиционной фазе</t>
        </is>
      </c>
      <c r="C47" s="20" t="n"/>
      <c r="D47" s="20" t="n"/>
      <c r="E47" s="21">
        <f>D47-C47</f>
        <v/>
      </c>
      <c r="F47" s="22">
        <f>IF(AND(C47=0,D47=0),"—",IF(C47=0,"новая статья",E47/C47))</f>
        <v/>
      </c>
      <c r="G47" s="20" t="n"/>
      <c r="H47" s="20" t="n"/>
      <c r="I47" s="20" t="n"/>
      <c r="J47" s="21">
        <f>G47+H47+I47-E47</f>
        <v/>
      </c>
      <c r="K47" s="23" t="n"/>
      <c r="L47" s="24" t="n"/>
      <c r="M47" s="23" t="n"/>
      <c r="N47" s="24" t="n"/>
    </row>
    <row r="48" outlineLevel="1" ht="22" customHeight="1">
      <c r="A48" s="13" t="inlineStr">
        <is>
          <t>06.02</t>
        </is>
      </c>
      <c r="B48" s="14" t="inlineStr">
        <is>
          <t>Страхование</t>
        </is>
      </c>
      <c r="C48" s="20" t="n"/>
      <c r="D48" s="20" t="n"/>
      <c r="E48" s="21">
        <f>D48-C48</f>
        <v/>
      </c>
      <c r="F48" s="22">
        <f>IF(AND(C48=0,D48=0),"—",IF(C48=0,"новая статья",E48/C48))</f>
        <v/>
      </c>
      <c r="G48" s="20" t="n"/>
      <c r="H48" s="20" t="n"/>
      <c r="I48" s="20" t="n"/>
      <c r="J48" s="21">
        <f>G48+H48+I48-E48</f>
        <v/>
      </c>
      <c r="K48" s="23" t="n"/>
      <c r="L48" s="24" t="n"/>
      <c r="M48" s="23" t="n"/>
      <c r="N48" s="24" t="n"/>
    </row>
    <row r="49" outlineLevel="1" ht="22" customHeight="1">
      <c r="A49" s="13" t="inlineStr">
        <is>
          <t>06.03</t>
        </is>
      </c>
      <c r="B49" s="14" t="inlineStr">
        <is>
          <t>Резерв непредвиденных расходов</t>
        </is>
      </c>
      <c r="C49" s="20" t="n"/>
      <c r="D49" s="20" t="n"/>
      <c r="E49" s="21">
        <f>D49-C49</f>
        <v/>
      </c>
      <c r="F49" s="22">
        <f>IF(AND(C49=0,D49=0),"—",IF(C49=0,"новая статья",E49/C49))</f>
        <v/>
      </c>
      <c r="G49" s="20" t="n"/>
      <c r="H49" s="20" t="n"/>
      <c r="I49" s="20" t="n"/>
      <c r="J49" s="21">
        <f>G49+H49+I49-E49</f>
        <v/>
      </c>
      <c r="K49" s="23" t="n"/>
      <c r="L49" s="24" t="n"/>
      <c r="M49" s="23" t="n"/>
      <c r="N49" s="24" t="n"/>
    </row>
    <row r="50" outlineLevel="1" ht="22" customHeight="1">
      <c r="A50" s="13" t="inlineStr">
        <is>
          <t>06.04</t>
        </is>
      </c>
      <c r="B50" s="14" t="inlineStr">
        <is>
          <t>Комиссии, гарантии, обязательные платежи и консультации</t>
        </is>
      </c>
      <c r="C50" s="20" t="n"/>
      <c r="D50" s="20" t="n"/>
      <c r="E50" s="21">
        <f>D50-C50</f>
        <v/>
      </c>
      <c r="F50" s="22">
        <f>IF(AND(C50=0,D50=0),"—",IF(C50=0,"новая статья",E50/C50))</f>
        <v/>
      </c>
      <c r="G50" s="20" t="n"/>
      <c r="H50" s="20" t="n"/>
      <c r="I50" s="20" t="n"/>
      <c r="J50" s="21">
        <f>G50+H50+I50-E50</f>
        <v/>
      </c>
      <c r="K50" s="23" t="n"/>
      <c r="L50" s="24" t="n"/>
      <c r="M50" s="23" t="n"/>
      <c r="N50" s="24" t="n"/>
    </row>
    <row r="51" ht="24" customHeight="1">
      <c r="A51" s="5" t="inlineStr">
        <is>
          <t>00</t>
        </is>
      </c>
      <c r="B51" s="25" t="inlineStr">
        <is>
          <t>Итого, сопоставимый периметр</t>
        </is>
      </c>
      <c r="C51" s="26">
        <f>SUM(C5,C10,C16,C38,C42,C46)</f>
        <v/>
      </c>
      <c r="D51" s="26">
        <f>SUM(D5,D10,D16,D38,D42,D46)</f>
        <v/>
      </c>
      <c r="E51" s="26">
        <f>SUM(E5,E10,E16,E38,E42,E46)</f>
        <v/>
      </c>
      <c r="F51" s="27">
        <f>IF(C51=0,"—",E51/C51)</f>
        <v/>
      </c>
      <c r="G51" s="26">
        <f>SUM(G5,G10,G16,G38,G42,G46)</f>
        <v/>
      </c>
      <c r="H51" s="26">
        <f>SUM(H5,H10,H16,H38,H42,H46)</f>
        <v/>
      </c>
      <c r="I51" s="26">
        <f>SUM(I5,I10,I16,I38,I42,I46)</f>
        <v/>
      </c>
      <c r="J51" s="26">
        <f>SUM(J5,J10,J16,J38,J42,J46)</f>
        <v/>
      </c>
      <c r="K51" s="25" t="inlineStr">
        <is>
          <t>F1 + F2 + F3 = отклонение.</t>
        </is>
      </c>
      <c r="L51" s="5" t="n"/>
      <c r="M51" s="25" t="n"/>
      <c r="N51" s="5" t="n"/>
    </row>
  </sheetData>
  <autoFilter ref="A4:N51"/>
  <mergeCells count="2">
    <mergeCell ref="A2:N2"/>
    <mergeCell ref="A1:N1"/>
  </mergeCells>
  <conditionalFormatting sqref="J5:J51">
    <cfRule type="cellIs" priority="1" operator="between" dxfId="0">
      <formula>-1</formula>
      <formula>1</formula>
    </cfRule>
    <cfRule type="cellIs" priority="2" operator="notBetween" dxfId="1">
      <formula>-1</formula>
      <formula>1</formula>
    </cfRule>
  </conditionalFormatting>
  <conditionalFormatting sqref="L5:L51">
    <cfRule type="expression" priority="3" dxfId="2">
      <formula>L5="Высокий"</formula>
    </cfRule>
    <cfRule type="expression" priority="4" dxfId="3">
      <formula>L5="Средний"</formula>
    </cfRule>
    <cfRule type="expression" priority="5" dxfId="0">
      <formula>L5="Низкий"</formula>
    </cfRule>
  </conditionalFormatting>
  <dataValidations count="2">
    <dataValidation sqref="L5 L6 L7 L8 L9 L10 L11 L12 L13 L14 L15 L16 L17 L18 L19 L20 L21 L22 L23 L24 L25 L26 L27 L28 L29 L30 L31 L32 L33 L34 L35 L36 L37 L38 L39 L40 L41 L42 L43 L44 L45 L46 L47 L48 L49 L50" showDropDown="0" showInputMessage="0" showErrorMessage="0" allowBlank="1" type="list">
      <formula1>"Низкий,Средний,Высокий"</formula1>
    </dataValidation>
    <dataValidation sqref="N5 N6 N7 N8 N9 N10 N11 N12 N13 N14 N15 N16 N17 N18 N19 N20 N21 N22 N23 N24 N25 N26 N27 N28 N29 N30 N31 N32 N33 N34 N35 N36 N37 N38 N39 N40 N41 N42 N43 N44 N45 N46 N47 N48 N49 N50" showDropDown="0" showInputMessage="0" showErrorMessage="0" allowBlank="1" type="list">
      <formula1>"А,Б,В"</formula1>
    </dataValidation>
  </dataValidations>
  <pageMargins left="0.75" right="0.75" top="1" bottom="1" header="0.5" footer="0.5"/>
  <pageSetup orientation="landscape" paperSize="8" fitToHeight="0" fitToWidth="1"/>
  <headerFooter>
    <oddHeader>&amp;LПостатейный факторный анализ бюджета</oddHeader>
    <oddFooter>&amp;LРубли без НДС. Факторы в сумме равны отклонению.&amp;RСтр. &amp;P</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N51"/>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62" customWidth="1" min="2" max="2"/>
    <col width="24" customWidth="1" min="3" max="3"/>
    <col width="28" customWidth="1" min="4" max="4"/>
    <col width="22" customWidth="1" min="5" max="5"/>
    <col width="16" customWidth="1" min="6" max="6"/>
    <col width="26" customWidth="1" min="7" max="7"/>
    <col width="30" customWidth="1" min="8" max="8"/>
    <col width="28" customWidth="1" min="9" max="9"/>
    <col width="18" customWidth="1" min="10" max="10"/>
    <col width="72" customWidth="1" min="11" max="11"/>
    <col width="16" customWidth="1" min="12" max="12"/>
    <col width="55" customWidth="1" min="13" max="13"/>
    <col width="18" customWidth="1" min="14" max="14"/>
  </cols>
  <sheetData>
    <row r="1" ht="24" customHeight="1">
      <c r="A1" s="1" t="inlineStr">
        <is>
          <t>Условный пример постатейного факторного анализа</t>
        </is>
      </c>
    </row>
    <row r="2" ht="36" customHeight="1">
      <c r="A2" s="17" t="inlineStr">
        <is>
          <t>Единица измерения — рубль без НДС. Желтым отмечен ввод. Отклонение, процент, агрегаты и колонка «Контроль» считаются формулами. Контроль = инфляция + изменения ПСД + иные причины − отклонение и должен быть равен нулю. Цифры примера условные и показывают рост сопоставимого бюджета на 15%.</t>
        </is>
      </c>
    </row>
    <row r="4" ht="36" customHeight="1">
      <c r="A4" s="5" t="inlineStr">
        <is>
          <t>Код</t>
        </is>
      </c>
      <c r="B4" s="5" t="inlineStr">
        <is>
          <t>Наименование статьи</t>
        </is>
      </c>
      <c r="C4" s="5" t="inlineStr">
        <is>
          <t>Базовый бюджет, руб.</t>
        </is>
      </c>
      <c r="D4" s="5" t="inlineStr">
        <is>
          <t>Откорректированный бюджет, руб.</t>
        </is>
      </c>
      <c r="E4" s="5" t="inlineStr">
        <is>
          <t>Отклонение, руб.</t>
        </is>
      </c>
      <c r="F4" s="5" t="inlineStr">
        <is>
          <t>Отклонение, %</t>
        </is>
      </c>
      <c r="G4" s="5" t="inlineStr">
        <is>
          <t>Фактор 1. Инфляция, руб.</t>
        </is>
      </c>
      <c r="H4" s="5" t="inlineStr">
        <is>
          <t>Фактор 2. Изменения ПСД, руб.</t>
        </is>
      </c>
      <c r="I4" s="5" t="inlineStr">
        <is>
          <t>Фактор 3. Иные причины, руб.</t>
        </is>
      </c>
      <c r="J4" s="5" t="inlineStr">
        <is>
          <t>Контроль, руб.</t>
        </is>
      </c>
      <c r="K4" s="5" t="inlineStr">
        <is>
          <t>Причины изменения</t>
        </is>
      </c>
      <c r="L4" s="5" t="inlineStr">
        <is>
          <t>Риск до ввода</t>
        </is>
      </c>
      <c r="M4" s="5" t="inlineStr">
        <is>
          <t>Комментарий к риску</t>
        </is>
      </c>
      <c r="N4" s="5" t="inlineStr">
        <is>
          <t>Класс надежности</t>
        </is>
      </c>
    </row>
    <row r="5" ht="48" customHeight="1">
      <c r="A5" s="10" t="inlineStr">
        <is>
          <t>01</t>
        </is>
      </c>
      <c r="B5" s="6" t="inlineStr">
        <is>
          <t>Подготовка строительства и земля</t>
        </is>
      </c>
      <c r="C5" s="18">
        <f>SUM(C6,C7,C8,C9)</f>
        <v/>
      </c>
      <c r="D5" s="18">
        <f>SUM(D6,D7,D8,D9)</f>
        <v/>
      </c>
      <c r="E5" s="18">
        <f>D5-C5</f>
        <v/>
      </c>
      <c r="F5" s="19">
        <f>IF(AND(C5=0,D5=0),"—",IF(C5=0,"новая статья",E5/C5))</f>
        <v/>
      </c>
      <c r="G5" s="18">
        <f>SUM(G6,G7,G8,G9)</f>
        <v/>
      </c>
      <c r="H5" s="18">
        <f>SUM(H6,H7,H8,H9)</f>
        <v/>
      </c>
      <c r="I5" s="18">
        <f>SUM(I6,I7,I8,I9)</f>
        <v/>
      </c>
      <c r="J5" s="18">
        <f>G5+H5+I5-E5</f>
        <v/>
      </c>
      <c r="K5" s="6" t="inlineStr">
        <is>
          <t>Свертка вложенных строк.</t>
        </is>
      </c>
      <c r="L5" s="10" t="inlineStr">
        <is>
          <t>Средний</t>
        </is>
      </c>
      <c r="M5" s="6" t="inlineStr">
        <is>
          <t>Оценка агрегата — наихудшая существенная вложенная строка.</t>
        </is>
      </c>
      <c r="N5" s="10" t="n"/>
    </row>
    <row r="6" outlineLevel="1" ht="48" customHeight="1">
      <c r="A6" s="13" t="inlineStr">
        <is>
          <t>01.01</t>
        </is>
      </c>
      <c r="B6" s="14" t="inlineStr">
        <is>
          <t>Градостроительная подготовка и права на земельный участок</t>
        </is>
      </c>
      <c r="C6" s="20" t="n">
        <v>40000000</v>
      </c>
      <c r="D6" s="20" t="n">
        <v>42000000</v>
      </c>
      <c r="E6" s="21">
        <f>D6-C6</f>
        <v/>
      </c>
      <c r="F6" s="22">
        <f>IF(AND(C6=0,D6=0),"—",IF(C6=0,"новая статья",E6/C6))</f>
        <v/>
      </c>
      <c r="G6" s="20" t="n">
        <v>1000000</v>
      </c>
      <c r="H6" s="20" t="n">
        <v>0</v>
      </c>
      <c r="I6" s="20" t="n">
        <v>1000000</v>
      </c>
      <c r="J6" s="21">
        <f>G6+H6+I6-E6</f>
        <v/>
      </c>
      <c r="K6" s="23" t="inlineStr">
        <is>
          <t>Плата за изменение документации планировки и актуализацию ГПЗУ сверх исходного допуска. Строительный дефлятор к этим платежам почти не применяется.</t>
        </is>
      </c>
      <c r="L6" s="24" t="inlineStr">
        <is>
          <t>Низкий</t>
        </is>
      </c>
      <c r="M6" s="23" t="inlineStr">
        <is>
          <t>Градостроительная подготовка завершена, открытых предписаний нет.</t>
        </is>
      </c>
      <c r="N6" s="24" t="inlineStr">
        <is>
          <t>Б</t>
        </is>
      </c>
    </row>
    <row r="7" outlineLevel="1" ht="48" customHeight="1">
      <c r="A7" s="13" t="inlineStr">
        <is>
          <t>01.02</t>
        </is>
      </c>
      <c r="B7" s="14" t="inlineStr">
        <is>
          <t>Освобождение территории, снос и перенос существующих сетей</t>
        </is>
      </c>
      <c r="C7" s="20" t="n">
        <v>90000000</v>
      </c>
      <c r="D7" s="20" t="n">
        <v>115000000</v>
      </c>
      <c r="E7" s="21">
        <f>D7-C7</f>
        <v/>
      </c>
      <c r="F7" s="22">
        <f>IF(AND(C7=0,D7=0),"—",IF(C7=0,"новая статья",E7/C7))</f>
        <v/>
      </c>
      <c r="G7" s="20" t="n">
        <v>8000000</v>
      </c>
      <c r="H7" s="20" t="n">
        <v>14000000</v>
      </c>
      <c r="I7" s="20" t="n">
        <v>3000000</v>
      </c>
      <c r="J7" s="21">
        <f>G7+H7+I7-E7</f>
        <v/>
      </c>
      <c r="K7" s="23" t="inlineStr">
        <is>
          <t>Дополнительные объемы переноса теплосети и сноса по уточненным обмерам и новым техническим условиям. Индекс на демонтаж и перевозку выше дефлятора T0. Обременения сверх объемов ПСД отнесены к иным причинам.</t>
        </is>
      </c>
      <c r="L7" s="24" t="inlineStr">
        <is>
          <t>Средний</t>
        </is>
      </c>
      <c r="M7" s="23" t="inlineStr">
        <is>
          <t>Часть переносов не законтрактована. Возможен новый объем по требованиям смежных собственников.</t>
        </is>
      </c>
      <c r="N7" s="24" t="inlineStr">
        <is>
          <t>А</t>
        </is>
      </c>
    </row>
    <row r="8" outlineLevel="1" ht="48" customHeight="1">
      <c r="A8" s="13" t="inlineStr">
        <is>
          <t>01.03</t>
        </is>
      </c>
      <c r="B8" s="14" t="inlineStr">
        <is>
          <t>Земляные работы, котлован, крепление и водопонижение</t>
        </is>
      </c>
      <c r="C8" s="20" t="n">
        <v>140000000</v>
      </c>
      <c r="D8" s="20" t="n">
        <v>165000000</v>
      </c>
      <c r="E8" s="21">
        <f>D8-C8</f>
        <v/>
      </c>
      <c r="F8" s="22">
        <f>IF(AND(C8=0,D8=0),"—",IF(C8=0,"новая статья",E8/C8))</f>
        <v/>
      </c>
      <c r="G8" s="20" t="n">
        <v>12000000</v>
      </c>
      <c r="H8" s="20" t="n">
        <v>10000000</v>
      </c>
      <c r="I8" s="20" t="n">
        <v>3000000</v>
      </c>
      <c r="J8" s="21">
        <f>G8+H8+I8-E8</f>
        <v/>
      </c>
      <c r="K8" s="23" t="inlineStr">
        <is>
          <t>Рост объема вывоза и крепления после корректировки геологии и отметки фундамента. Индекс топлива, транспорта и оплаты труда машинистов выше плана. Водопонижение сверх проекта из-за фактического водопритока отнесено к иным причинам.</t>
        </is>
      </c>
      <c r="L8" s="24" t="inlineStr">
        <is>
          <t>Средний</t>
        </is>
      </c>
      <c r="M8" s="23" t="inlineStr">
        <is>
          <t>Котлован выполнен частично. Остается риск водопритока и зимнего удорожания незакрытого остатка.</t>
        </is>
      </c>
      <c r="N8" s="24" t="inlineStr">
        <is>
          <t>А</t>
        </is>
      </c>
    </row>
    <row r="9" outlineLevel="1" ht="48" customHeight="1">
      <c r="A9" s="13" t="inlineStr">
        <is>
          <t>01.04</t>
        </is>
      </c>
      <c r="B9" s="14" t="inlineStr">
        <is>
          <t>Временная строительная инфраструктура площадки</t>
        </is>
      </c>
      <c r="C9" s="20" t="n">
        <v>50000000</v>
      </c>
      <c r="D9" s="20" t="n">
        <v>58000000</v>
      </c>
      <c r="E9" s="21">
        <f>D9-C9</f>
        <v/>
      </c>
      <c r="F9" s="22">
        <f>IF(AND(C9=0,D9=0),"—",IF(C9=0,"новая статья",E9/C9))</f>
        <v/>
      </c>
      <c r="G9" s="20" t="n">
        <v>4000000</v>
      </c>
      <c r="H9" s="20" t="n">
        <v>4000000</v>
      </c>
      <c r="I9" s="20" t="n">
        <v>0</v>
      </c>
      <c r="J9" s="21">
        <f>G9+H9+I9-E9</f>
        <v/>
      </c>
      <c r="K9" s="23" t="inlineStr">
        <is>
          <t>Удорожание временных сетей и городка в пределах индекса оплаты труда и материалов плюс расширение городка под дополнительную сменность, вызванную ростом объемов.</t>
        </is>
      </c>
      <c r="L9" s="24" t="inlineStr">
        <is>
          <t>Низкий</t>
        </is>
      </c>
      <c r="M9" s="23" t="inlineStr">
        <is>
          <t>Затраты в основном уже понесены.</t>
        </is>
      </c>
      <c r="N9" s="24" t="inlineStr">
        <is>
          <t>Б</t>
        </is>
      </c>
    </row>
    <row r="10" ht="48" customHeight="1">
      <c r="A10" s="10" t="inlineStr">
        <is>
          <t>02</t>
        </is>
      </c>
      <c r="B10" s="6" t="inlineStr">
        <is>
          <t>Проектно-изыскательские работы и авторский надзор</t>
        </is>
      </c>
      <c r="C10" s="18">
        <f>SUM(C11,C12,C13,C14,C15)</f>
        <v/>
      </c>
      <c r="D10" s="18">
        <f>SUM(D11,D12,D13,D14,D15)</f>
        <v/>
      </c>
      <c r="E10" s="18">
        <f>D10-C10</f>
        <v/>
      </c>
      <c r="F10" s="19">
        <f>IF(AND(C10=0,D10=0),"—",IF(C10=0,"новая статья",E10/C10))</f>
        <v/>
      </c>
      <c r="G10" s="18">
        <f>SUM(G11,G12,G13,G14,G15)</f>
        <v/>
      </c>
      <c r="H10" s="18">
        <f>SUM(H11,H12,H13,H14,H15)</f>
        <v/>
      </c>
      <c r="I10" s="18">
        <f>SUM(I11,I12,I13,I14,I15)</f>
        <v/>
      </c>
      <c r="J10" s="18">
        <f>G10+H10+I10-E10</f>
        <v/>
      </c>
      <c r="K10" s="6" t="inlineStr">
        <is>
          <t>Свертка вложенных строк.</t>
        </is>
      </c>
      <c r="L10" s="10" t="inlineStr">
        <is>
          <t>Средний</t>
        </is>
      </c>
      <c r="M10" s="6" t="inlineStr">
        <is>
          <t>Оценка агрегата — наихудшая существенная вложенная строка.</t>
        </is>
      </c>
      <c r="N10" s="10" t="n"/>
    </row>
    <row r="11" outlineLevel="1" ht="48" customHeight="1">
      <c r="A11" s="13" t="inlineStr">
        <is>
          <t>02.01</t>
        </is>
      </c>
      <c r="B11" s="14" t="inlineStr">
        <is>
          <t>Инженерные изыскания</t>
        </is>
      </c>
      <c r="C11" s="20" t="n">
        <v>35000000</v>
      </c>
      <c r="D11" s="20" t="n">
        <v>40000000</v>
      </c>
      <c r="E11" s="21">
        <f>D11-C11</f>
        <v/>
      </c>
      <c r="F11" s="22">
        <f>IF(AND(C11=0,D11=0),"—",IF(C11=0,"новая статья",E11/C11))</f>
        <v/>
      </c>
      <c r="G11" s="20" t="n">
        <v>2000000</v>
      </c>
      <c r="H11" s="20" t="n">
        <v>3000000</v>
      </c>
      <c r="I11" s="20" t="n">
        <v>0</v>
      </c>
      <c r="J11" s="21">
        <f>G11+H11+I11-E11</f>
        <v/>
      </c>
      <c r="K11" s="23" t="inlineStr">
        <is>
          <t>Дополнительные геотехнические и экологические изыскания под измененные конструктивные решения. Отдельно учтен индекс договорных цен изыскателей к дефлятору T0.</t>
        </is>
      </c>
      <c r="L11" s="24" t="inlineStr">
        <is>
          <t>Низкий</t>
        </is>
      </c>
      <c r="M11" s="23" t="inlineStr">
        <is>
          <t>Полевые работы закрыты актами.</t>
        </is>
      </c>
      <c r="N11" s="24" t="inlineStr">
        <is>
          <t>А</t>
        </is>
      </c>
    </row>
    <row r="12" outlineLevel="1" ht="48" customHeight="1">
      <c r="A12" s="13" t="inlineStr">
        <is>
          <t>02.02</t>
        </is>
      </c>
      <c r="B12" s="14" t="inlineStr">
        <is>
          <t>Проектная документация</t>
        </is>
      </c>
      <c r="C12" s="20" t="n">
        <v>90000000</v>
      </c>
      <c r="D12" s="20" t="n">
        <v>100000000</v>
      </c>
      <c r="E12" s="21">
        <f>D12-C12</f>
        <v/>
      </c>
      <c r="F12" s="22">
        <f>IF(AND(C12=0,D12=0),"—",IF(C12=0,"новая статья",E12/C12))</f>
        <v/>
      </c>
      <c r="G12" s="20" t="n">
        <v>5000000</v>
      </c>
      <c r="H12" s="20" t="n">
        <v>4000000</v>
      </c>
      <c r="I12" s="20" t="n">
        <v>1000000</v>
      </c>
      <c r="J12" s="21">
        <f>G12+H12+I12-E12</f>
        <v/>
      </c>
      <c r="K12" s="23" t="inlineStr">
        <is>
          <t>Корректировка стадии П под новые ТЭП. Индексация частично выполненных этапов. Доплата за сжатый срок выпуска, не вытекающая из состава документации, отнесена к иным причинам.</t>
        </is>
      </c>
      <c r="L12" s="24" t="inlineStr">
        <is>
          <t>Низкий</t>
        </is>
      </c>
      <c r="M12" s="23" t="inlineStr">
        <is>
          <t>Экспертиза стадии П пройдена.</t>
        </is>
      </c>
      <c r="N12" s="24" t="inlineStr">
        <is>
          <t>А</t>
        </is>
      </c>
    </row>
    <row r="13" outlineLevel="1" ht="48" customHeight="1">
      <c r="A13" s="13" t="inlineStr">
        <is>
          <t>02.03</t>
        </is>
      </c>
      <c r="B13" s="14" t="inlineStr">
        <is>
          <t>Рабочая документация</t>
        </is>
      </c>
      <c r="C13" s="20" t="n">
        <v>110000000</v>
      </c>
      <c r="D13" s="20" t="n">
        <v>145000000</v>
      </c>
      <c r="E13" s="21">
        <f>D13-C13</f>
        <v/>
      </c>
      <c r="F13" s="22">
        <f>IF(AND(C13=0,D13=0),"—",IF(C13=0,"новая статья",E13/C13))</f>
        <v/>
      </c>
      <c r="G13" s="20" t="n">
        <v>8000000</v>
      </c>
      <c r="H13" s="20" t="n">
        <v>22000000</v>
      </c>
      <c r="I13" s="20" t="n">
        <v>5000000</v>
      </c>
      <c r="J13" s="21">
        <f>G13+H13+I13-E13</f>
        <v/>
      </c>
      <c r="K13" s="23" t="inlineStr">
        <is>
          <t>Основной прирост — дополнительные комплекты рабочей документации по измененным разделам КР, АР и инженерных систем. Индекс ставок проектировщиков учтен отдельно. Счета за переделки исходных коллизий при неизменных решениях отнесены к иным причинам.</t>
        </is>
      </c>
      <c r="L13" s="24" t="inlineStr">
        <is>
          <t>Средний</t>
        </is>
      </c>
      <c r="M13" s="23" t="inlineStr">
        <is>
          <t>Комплект рабочей документации не завершен. До окончания СМР вероятны дополнительные измы.</t>
        </is>
      </c>
      <c r="N13" s="24" t="inlineStr">
        <is>
          <t>А</t>
        </is>
      </c>
    </row>
    <row r="14" outlineLevel="1" ht="48" customHeight="1">
      <c r="A14" s="13" t="inlineStr">
        <is>
          <t>02.04</t>
        </is>
      </c>
      <c r="B14" s="14" t="inlineStr">
        <is>
          <t>Экспертиза проектной документации и результатов изысканий</t>
        </is>
      </c>
      <c r="C14" s="20" t="n">
        <v>25000000</v>
      </c>
      <c r="D14" s="20" t="n">
        <v>30000000</v>
      </c>
      <c r="E14" s="21">
        <f>D14-C14</f>
        <v/>
      </c>
      <c r="F14" s="22">
        <f>IF(AND(C14=0,D14=0),"—",IF(C14=0,"новая статья",E14/C14))</f>
        <v/>
      </c>
      <c r="G14" s="20" t="n">
        <v>1000000</v>
      </c>
      <c r="H14" s="20" t="n">
        <v>3000000</v>
      </c>
      <c r="I14" s="20" t="n">
        <v>1000000</v>
      </c>
      <c r="J14" s="21">
        <f>G14+H14+I14-E14</f>
        <v/>
      </c>
      <c r="K14" s="23" t="inlineStr">
        <is>
          <t>Повторная экспертиза в связи с изменением ТЭП. Тарифный индекс на исходный состав. Сопутствующие расходы на устранение замечаний без смены решений отнесены к иным причинам.</t>
        </is>
      </c>
      <c r="L14" s="24" t="inlineStr">
        <is>
          <t>Низкий</t>
        </is>
      </c>
      <c r="M14" s="23" t="inlineStr">
        <is>
          <t>Повторное заключение получено.</t>
        </is>
      </c>
      <c r="N14" s="24" t="inlineStr">
        <is>
          <t>А</t>
        </is>
      </c>
    </row>
    <row r="15" outlineLevel="1" ht="48" customHeight="1">
      <c r="A15" s="13" t="inlineStr">
        <is>
          <t>02.05</t>
        </is>
      </c>
      <c r="B15" s="14" t="inlineStr">
        <is>
          <t>Авторский надзор</t>
        </is>
      </c>
      <c r="C15" s="20" t="n">
        <v>20000000</v>
      </c>
      <c r="D15" s="20" t="n">
        <v>25000000</v>
      </c>
      <c r="E15" s="21">
        <f>D15-C15</f>
        <v/>
      </c>
      <c r="F15" s="22">
        <f>IF(AND(C15=0,D15=0),"—",IF(C15=0,"новая статья",E15/C15))</f>
        <v/>
      </c>
      <c r="G15" s="20" t="n">
        <v>2000000</v>
      </c>
      <c r="H15" s="20" t="n">
        <v>3000000</v>
      </c>
      <c r="I15" s="20" t="n">
        <v>0</v>
      </c>
      <c r="J15" s="21">
        <f>G15+H15+I15-E15</f>
        <v/>
      </c>
      <c r="K15" s="23" t="inlineStr">
        <is>
          <t>Индексация помесячной ставки на исходный срок и дополнительные выезды по новым разделам рабочей документации. Чистое удлинение срока стройки в эту строку не включено, чтобы не задвоить его с группой 04.</t>
        </is>
      </c>
      <c r="L15" s="24" t="inlineStr">
        <is>
          <t>Средний</t>
        </is>
      </c>
      <c r="M15" s="23" t="inlineStr">
        <is>
          <t>При следующем сдвиге ввода вероятно дополнительное соглашение. В бюджете T1 его еще нет.</t>
        </is>
      </c>
      <c r="N15" s="24" t="inlineStr">
        <is>
          <t>А</t>
        </is>
      </c>
    </row>
    <row r="16" ht="48" customHeight="1">
      <c r="A16" s="10" t="inlineStr">
        <is>
          <t>03</t>
        </is>
      </c>
      <c r="B16" s="6" t="inlineStr">
        <is>
          <t>Строительно-монтажные работы</t>
        </is>
      </c>
      <c r="C16" s="18">
        <f>SUM(C17,C25,C31,C37)</f>
        <v/>
      </c>
      <c r="D16" s="18">
        <f>SUM(D17,D25,D31,D37)</f>
        <v/>
      </c>
      <c r="E16" s="18">
        <f>D16-C16</f>
        <v/>
      </c>
      <c r="F16" s="19">
        <f>IF(AND(C16=0,D16=0),"—",IF(C16=0,"новая статья",E16/C16))</f>
        <v/>
      </c>
      <c r="G16" s="18">
        <f>SUM(G17,G25,G31,G37)</f>
        <v/>
      </c>
      <c r="H16" s="18">
        <f>SUM(H17,H25,H31,H37)</f>
        <v/>
      </c>
      <c r="I16" s="18">
        <f>SUM(I17,I25,I31,I37)</f>
        <v/>
      </c>
      <c r="J16" s="18">
        <f>G16+H16+I16-E16</f>
        <v/>
      </c>
      <c r="K16" s="6" t="inlineStr">
        <is>
          <t>Свертка вложенных строк.</t>
        </is>
      </c>
      <c r="L16" s="10" t="inlineStr">
        <is>
          <t>Высокий</t>
        </is>
      </c>
      <c r="M16" s="6" t="inlineStr">
        <is>
          <t>Оценка агрегата — наихудшая существенная вложенная строка.</t>
        </is>
      </c>
      <c r="N16" s="10" t="n"/>
    </row>
    <row r="17" outlineLevel="1" ht="48" customHeight="1">
      <c r="A17" s="10" t="inlineStr">
        <is>
          <t>03.01</t>
        </is>
      </c>
      <c r="B17" s="15" t="inlineStr">
        <is>
          <t>Общестроительные работы и конструктив</t>
        </is>
      </c>
      <c r="C17" s="18">
        <f>SUM(C18,C19,C20,C21,C22,C23,C24)</f>
        <v/>
      </c>
      <c r="D17" s="18">
        <f>SUM(D18,D19,D20,D21,D22,D23,D24)</f>
        <v/>
      </c>
      <c r="E17" s="18">
        <f>D17-C17</f>
        <v/>
      </c>
      <c r="F17" s="19">
        <f>IF(AND(C17=0,D17=0),"—",IF(C17=0,"новая статья",E17/C17))</f>
        <v/>
      </c>
      <c r="G17" s="18">
        <f>SUM(G18,G19,G20,G21,G22,G23,G24)</f>
        <v/>
      </c>
      <c r="H17" s="18">
        <f>SUM(H18,H19,H20,H21,H22,H23,H24)</f>
        <v/>
      </c>
      <c r="I17" s="18">
        <f>SUM(I18,I19,I20,I21,I22,I23,I24)</f>
        <v/>
      </c>
      <c r="J17" s="18">
        <f>G17+H17+I17-E17</f>
        <v/>
      </c>
      <c r="K17" s="6" t="inlineStr">
        <is>
          <t>Свертка вложенных строк.</t>
        </is>
      </c>
      <c r="L17" s="10" t="inlineStr">
        <is>
          <t>Высокий</t>
        </is>
      </c>
      <c r="M17" s="6" t="inlineStr">
        <is>
          <t>Оценка агрегата — наихудшая существенная вложенная строка.</t>
        </is>
      </c>
      <c r="N17" s="10" t="n"/>
    </row>
    <row r="18" outlineLevel="2" ht="48" customHeight="1">
      <c r="A18" s="13" t="inlineStr">
        <is>
          <t>03.01.01</t>
        </is>
      </c>
      <c r="B18" s="16" t="inlineStr">
        <is>
          <t>Фундаменты и подземная часть</t>
        </is>
      </c>
      <c r="C18" s="20" t="n">
        <v>620000000</v>
      </c>
      <c r="D18" s="20" t="n">
        <v>740000000</v>
      </c>
      <c r="E18" s="21">
        <f>D18-C18</f>
        <v/>
      </c>
      <c r="F18" s="22">
        <f>IF(AND(C18=0,D18=0),"—",IF(C18=0,"новая статья",E18/C18))</f>
        <v/>
      </c>
      <c r="G18" s="20" t="n">
        <v>55000000</v>
      </c>
      <c r="H18" s="20" t="n">
        <v>55000000</v>
      </c>
      <c r="I18" s="20" t="n">
        <v>10000000</v>
      </c>
      <c r="J18" s="21">
        <f>G18+H18+I18-E18</f>
        <v/>
      </c>
      <c r="K18" s="23" t="inlineStr">
        <is>
          <t>Увеличение объемов плиты и свай после изменения геологии и нагрузок. Индекс бетона, арматуры и оплаты труда на исходный объем. Сверхиндексная цена субподрядчика на сваи отнесена к иным причинам.</t>
        </is>
      </c>
      <c r="L18" s="24" t="inlineStr">
        <is>
          <t>Средний</t>
        </is>
      </c>
      <c r="M18" s="23" t="inlineStr">
        <is>
          <t>Подземная часть законтрактована по единичным расценкам примерно на 70%. Остаток зависит от исполнительной геологии.</t>
        </is>
      </c>
      <c r="N18" s="24" t="inlineStr">
        <is>
          <t>А</t>
        </is>
      </c>
    </row>
    <row r="19" outlineLevel="2" ht="48" customHeight="1">
      <c r="A19" s="13" t="inlineStr">
        <is>
          <t>03.01.02</t>
        </is>
      </c>
      <c r="B19" s="16" t="inlineStr">
        <is>
          <t>Несущий каркас</t>
        </is>
      </c>
      <c r="C19" s="20" t="n">
        <v>980000000</v>
      </c>
      <c r="D19" s="20" t="n">
        <v>1120000000</v>
      </c>
      <c r="E19" s="21">
        <f>D19-C19</f>
        <v/>
      </c>
      <c r="F19" s="22">
        <f>IF(AND(C19=0,D19=0),"—",IF(C19=0,"новая статья",E19/C19))</f>
        <v/>
      </c>
      <c r="G19" s="20" t="n">
        <v>90000000</v>
      </c>
      <c r="H19" s="20" t="n">
        <v>40000000</v>
      </c>
      <c r="I19" s="20" t="n">
        <v>10000000</v>
      </c>
      <c r="J19" s="21">
        <f>G19+H19+I19-E19</f>
        <v/>
      </c>
      <c r="K19" s="23" t="inlineStr">
        <is>
          <t>Индекс арматуры, бетона, опалубки и оплаты труда на исходный объем каркаса. Прирост расхода арматуры по новой рабочей документации. Часть расценок выше индексированной цены исходного решения.</t>
        </is>
      </c>
      <c r="L19" s="24" t="inlineStr">
        <is>
          <t>Средний</t>
        </is>
      </c>
      <c r="M19" s="23" t="inlineStr">
        <is>
          <t>Расценки зафиксированы до текущей отметки. Верхние этажи еще открыты.</t>
        </is>
      </c>
      <c r="N19" s="24" t="inlineStr">
        <is>
          <t>А</t>
        </is>
      </c>
    </row>
    <row r="20" outlineLevel="2" ht="48" customHeight="1">
      <c r="A20" s="13" t="inlineStr">
        <is>
          <t>03.01.03</t>
        </is>
      </c>
      <c r="B20" s="16" t="inlineStr">
        <is>
          <t>Стены и перегородки</t>
        </is>
      </c>
      <c r="C20" s="20" t="n">
        <v>310000000</v>
      </c>
      <c r="D20" s="20" t="n">
        <v>350000000</v>
      </c>
      <c r="E20" s="21">
        <f>D20-C20</f>
        <v/>
      </c>
      <c r="F20" s="22">
        <f>IF(AND(C20=0,D20=0),"—",IF(C20=0,"новая статья",E20/C20))</f>
        <v/>
      </c>
      <c r="G20" s="20" t="n">
        <v>28000000</v>
      </c>
      <c r="H20" s="20" t="n">
        <v>12000000</v>
      </c>
      <c r="I20" s="20" t="n">
        <v>0</v>
      </c>
      <c r="J20" s="21">
        <f>G20+H20+I20-E20</f>
        <v/>
      </c>
      <c r="K20" s="23" t="inlineStr">
        <is>
          <t>Индекс кладки и перегородок на исходный объем. Дополнительные перегородки по корректировке планировок. Отклонения цены от индекса нет.</t>
        </is>
      </c>
      <c r="L20" s="24" t="inlineStr">
        <is>
          <t>Низкий</t>
        </is>
      </c>
      <c r="M20" s="23" t="inlineStr">
        <is>
          <t>Решения типовые, расценки законтрактованы.</t>
        </is>
      </c>
      <c r="N20" s="24" t="inlineStr">
        <is>
          <t>А</t>
        </is>
      </c>
    </row>
    <row r="21" outlineLevel="2" ht="48" customHeight="1">
      <c r="A21" s="13" t="inlineStr">
        <is>
          <t>03.01.04</t>
        </is>
      </c>
      <c r="B21" s="16" t="inlineStr">
        <is>
          <t>Фасады и кровля</t>
        </is>
      </c>
      <c r="C21" s="20" t="n">
        <v>540000000</v>
      </c>
      <c r="D21" s="20" t="n">
        <v>650000000</v>
      </c>
      <c r="E21" s="21">
        <f>D21-C21</f>
        <v/>
      </c>
      <c r="F21" s="22">
        <f>IF(AND(C21=0,D21=0),"—",IF(C21=0,"новая статья",E21/C21))</f>
        <v/>
      </c>
      <c r="G21" s="20" t="n">
        <v>48000000</v>
      </c>
      <c r="H21" s="20" t="n">
        <v>55000000</v>
      </c>
      <c r="I21" s="20" t="n">
        <v>7000000</v>
      </c>
      <c r="J21" s="21">
        <f>G21+H21+I21-E21</f>
        <v/>
      </c>
      <c r="K21" s="23" t="inlineStr">
        <is>
          <t>Замена штукатурного фасада на навесной вентилируемый и рост площади кровли оценены по рыночной цене нового решения. Индекс металла и утеплителя на исходное решение учтен отдельно. Логистическая надбавка поставщика сверх рынка отнесена к иным причинам.</t>
        </is>
      </c>
      <c r="L21" s="24" t="inlineStr">
        <is>
          <t>Высокий</t>
        </is>
      </c>
      <c r="M21" s="23" t="inlineStr">
        <is>
          <t>Фасадный договор не подписан, узлы рабочей документации не утверждены, валютная составляющая фурнитуры открыта.</t>
        </is>
      </c>
      <c r="N21" s="24" t="inlineStr">
        <is>
          <t>Б</t>
        </is>
      </c>
    </row>
    <row r="22" outlineLevel="2" ht="48" customHeight="1">
      <c r="A22" s="13" t="inlineStr">
        <is>
          <t>03.01.05</t>
        </is>
      </c>
      <c r="B22" s="16" t="inlineStr">
        <is>
          <t>Окна, двери и светопрозрачные конструкции</t>
        </is>
      </c>
      <c r="C22" s="20" t="n">
        <v>280000000</v>
      </c>
      <c r="D22" s="20" t="n">
        <v>320000000</v>
      </c>
      <c r="E22" s="21">
        <f>D22-C22</f>
        <v/>
      </c>
      <c r="F22" s="22">
        <f>IF(AND(C22=0,D22=0),"—",IF(C22=0,"новая статья",E22/C22))</f>
        <v/>
      </c>
      <c r="G22" s="20" t="n">
        <v>25000000</v>
      </c>
      <c r="H22" s="20" t="n">
        <v>12000000</v>
      </c>
      <c r="I22" s="20" t="n">
        <v>3000000</v>
      </c>
      <c r="J22" s="21">
        <f>G22+H22+I22-E22</f>
        <v/>
      </c>
      <c r="K22" s="23" t="inlineStr">
        <is>
          <t>Индекс профилей и стеклопакетов на исходную спецификацию. Увеличение площади витражей по архитектурным решениям. Доплата за срочное изготовление части позиций отнесена к иным причинам.</t>
        </is>
      </c>
      <c r="L22" s="24" t="inlineStr">
        <is>
          <t>Средний</t>
        </is>
      </c>
      <c r="M22" s="23" t="inlineStr">
        <is>
          <t>Спецификация согласована не полностью. Металл и стекло верхних этажей не закуплены.</t>
        </is>
      </c>
      <c r="N22" s="24" t="inlineStr">
        <is>
          <t>А</t>
        </is>
      </c>
    </row>
    <row r="23" outlineLevel="2" ht="48" customHeight="1">
      <c r="A23" s="13" t="inlineStr">
        <is>
          <t>03.01.06</t>
        </is>
      </c>
      <c r="B23" s="16" t="inlineStr">
        <is>
          <t>Внутренняя черновая отделка</t>
        </is>
      </c>
      <c r="C23" s="20" t="n">
        <v>220000000</v>
      </c>
      <c r="D23" s="20" t="n">
        <v>250000000</v>
      </c>
      <c r="E23" s="21">
        <f>D23-C23</f>
        <v/>
      </c>
      <c r="F23" s="22">
        <f>IF(AND(C23=0,D23=0),"—",IF(C23=0,"новая статья",E23/C23))</f>
        <v/>
      </c>
      <c r="G23" s="20" t="n">
        <v>20000000</v>
      </c>
      <c r="H23" s="20" t="n">
        <v>10000000</v>
      </c>
      <c r="I23" s="20" t="n">
        <v>0</v>
      </c>
      <c r="J23" s="21">
        <f>G23+H23+I23-E23</f>
        <v/>
      </c>
      <c r="K23" s="23" t="inlineStr">
        <is>
          <t>Индекс сухих смесей и оплаты труда. Дополнительные площади подготовки стен после смены типа фасада. Сверхиндексного отклонения цены нет.</t>
        </is>
      </c>
      <c r="L23" s="24" t="inlineStr">
        <is>
          <t>Средний</t>
        </is>
      </c>
      <c r="M23" s="23" t="inlineStr">
        <is>
          <t>Отделка не законтрактована, объемы зависят от финальной рабочей документации.</t>
        </is>
      </c>
      <c r="N23" s="24" t="inlineStr">
        <is>
          <t>Б</t>
        </is>
      </c>
    </row>
    <row r="24" outlineLevel="2" ht="48" customHeight="1">
      <c r="A24" s="13" t="inlineStr">
        <is>
          <t>03.01.07</t>
        </is>
      </c>
      <c r="B24" s="16" t="inlineStr">
        <is>
          <t>Лифты и подъемное оборудование</t>
        </is>
      </c>
      <c r="C24" s="20" t="n">
        <v>150000000</v>
      </c>
      <c r="D24" s="20" t="n">
        <v>170000000</v>
      </c>
      <c r="E24" s="21">
        <f>D24-C24</f>
        <v/>
      </c>
      <c r="F24" s="22">
        <f>IF(AND(C24=0,D24=0),"—",IF(C24=0,"новая статья",E24/C24))</f>
        <v/>
      </c>
      <c r="G24" s="20" t="n">
        <v>14000000</v>
      </c>
      <c r="H24" s="20" t="n">
        <v>6000000</v>
      </c>
      <c r="I24" s="20" t="n">
        <v>0</v>
      </c>
      <c r="J24" s="21">
        <f>G24+H24+I24-E24</f>
        <v/>
      </c>
      <c r="K24" s="23" t="inlineStr">
        <is>
          <t>Индекс оборудования на исходную спецификацию. Добавление подъема и изменение грузоподъемности по новой планировке. Контрактная цена не превышает рыночный аналог.</t>
        </is>
      </c>
      <c r="L24" s="24" t="inlineStr">
        <is>
          <t>Средний</t>
        </is>
      </c>
      <c r="M24" s="23" t="inlineStr">
        <is>
          <t>Договор поставки не заключен. Срок изготовления лежит на критическом пути ввода.</t>
        </is>
      </c>
      <c r="N24" s="24" t="inlineStr">
        <is>
          <t>Б</t>
        </is>
      </c>
    </row>
    <row r="25" outlineLevel="1" ht="48" customHeight="1">
      <c r="A25" s="10" t="inlineStr">
        <is>
          <t>03.02</t>
        </is>
      </c>
      <c r="B25" s="15" t="inlineStr">
        <is>
          <t>Внутренние инженерные системы</t>
        </is>
      </c>
      <c r="C25" s="18">
        <f>SUM(C26,C27,C28,C29,C30)</f>
        <v/>
      </c>
      <c r="D25" s="18">
        <f>SUM(D26,D27,D28,D29,D30)</f>
        <v/>
      </c>
      <c r="E25" s="18">
        <f>D25-C25</f>
        <v/>
      </c>
      <c r="F25" s="19">
        <f>IF(AND(C25=0,D25=0),"—",IF(C25=0,"новая статья",E25/C25))</f>
        <v/>
      </c>
      <c r="G25" s="18">
        <f>SUM(G26,G27,G28,G29,G30)</f>
        <v/>
      </c>
      <c r="H25" s="18">
        <f>SUM(H26,H27,H28,H29,H30)</f>
        <v/>
      </c>
      <c r="I25" s="18">
        <f>SUM(I26,I27,I28,I29,I30)</f>
        <v/>
      </c>
      <c r="J25" s="18">
        <f>G25+H25+I25-E25</f>
        <v/>
      </c>
      <c r="K25" s="6" t="inlineStr">
        <is>
          <t>Свертка вложенных строк.</t>
        </is>
      </c>
      <c r="L25" s="10" t="inlineStr">
        <is>
          <t>Высокий</t>
        </is>
      </c>
      <c r="M25" s="6" t="inlineStr">
        <is>
          <t>Оценка агрегата — наихудшая существенная вложенная строка.</t>
        </is>
      </c>
      <c r="N25" s="10" t="n"/>
    </row>
    <row r="26" outlineLevel="2" ht="48" customHeight="1">
      <c r="A26" s="13" t="inlineStr">
        <is>
          <t>03.02.01</t>
        </is>
      </c>
      <c r="B26" s="16" t="inlineStr">
        <is>
          <t>Отопление, вентиляция и кондиционирование</t>
        </is>
      </c>
      <c r="C26" s="20" t="n">
        <v>380000000</v>
      </c>
      <c r="D26" s="20" t="n">
        <v>450000000</v>
      </c>
      <c r="E26" s="21">
        <f>D26-C26</f>
        <v/>
      </c>
      <c r="F26" s="22">
        <f>IF(AND(C26=0,D26=0),"—",IF(C26=0,"новая статья",E26/C26))</f>
        <v/>
      </c>
      <c r="G26" s="20" t="n">
        <v>30000000</v>
      </c>
      <c r="H26" s="20" t="n">
        <v>35000000</v>
      </c>
      <c r="I26" s="20" t="n">
        <v>5000000</v>
      </c>
      <c r="J26" s="21">
        <f>G26+H26+I26-E26</f>
        <v/>
      </c>
      <c r="K26" s="23" t="inlineStr">
        <is>
          <t>Индекс исходного состава оборудования относительно дефлятора и курсового допущения T0. Новая производительность и переразводка по измененным планировкам оценены по текущим рыночным аналогам. Превышение цены выбранного поставщика над аналогом отнесено к иным причинам.</t>
        </is>
      </c>
      <c r="L26" s="24" t="inlineStr">
        <is>
          <t>Высокий</t>
        </is>
      </c>
      <c r="M26" s="23" t="inlineStr">
        <is>
          <t>Рабочая документация выпущена частично. Основное оборудование не законтрактовано.</t>
        </is>
      </c>
      <c r="N26" s="24" t="inlineStr">
        <is>
          <t>Б</t>
        </is>
      </c>
    </row>
    <row r="27" outlineLevel="2" ht="48" customHeight="1">
      <c r="A27" s="13" t="inlineStr">
        <is>
          <t>03.02.02</t>
        </is>
      </c>
      <c r="B27" s="16" t="inlineStr">
        <is>
          <t>Водоснабжение и водоотведение</t>
        </is>
      </c>
      <c r="C27" s="20" t="n">
        <v>260000000</v>
      </c>
      <c r="D27" s="20" t="n">
        <v>290000000</v>
      </c>
      <c r="E27" s="21">
        <f>D27-C27</f>
        <v/>
      </c>
      <c r="F27" s="22">
        <f>IF(AND(C27=0,D27=0),"—",IF(C27=0,"новая статья",E27/C27))</f>
        <v/>
      </c>
      <c r="G27" s="20" t="n">
        <v>22000000</v>
      </c>
      <c r="H27" s="20" t="n">
        <v>8000000</v>
      </c>
      <c r="I27" s="20" t="n">
        <v>0</v>
      </c>
      <c r="J27" s="21">
        <f>G27+H27+I27-E27</f>
        <v/>
      </c>
      <c r="K27" s="23" t="inlineStr">
        <is>
          <t>Индекс труб, арматуры и сантехнических приборов на исходную систему. Дополнительные санузлы и стояки по новым планировкам. Цена в бюджете равна индексированной рыночной цене.</t>
        </is>
      </c>
      <c r="L27" s="24" t="inlineStr">
        <is>
          <t>Средний</t>
        </is>
      </c>
      <c r="M27" s="23" t="inlineStr">
        <is>
          <t>Система в основном типовая, но спецификация приборов не закрыта полностью.</t>
        </is>
      </c>
      <c r="N27" s="24" t="inlineStr">
        <is>
          <t>А</t>
        </is>
      </c>
    </row>
    <row r="28" outlineLevel="2" ht="48" customHeight="1">
      <c r="A28" s="13" t="inlineStr">
        <is>
          <t>03.02.03</t>
        </is>
      </c>
      <c r="B28" s="16" t="inlineStr">
        <is>
          <t>Электрооборудование, электроосвещение и молниезащита</t>
        </is>
      </c>
      <c r="C28" s="20" t="n">
        <v>420000000</v>
      </c>
      <c r="D28" s="20" t="n">
        <v>490000000</v>
      </c>
      <c r="E28" s="21">
        <f>D28-C28</f>
        <v/>
      </c>
      <c r="F28" s="22">
        <f>IF(AND(C28=0,D28=0),"—",IF(C28=0,"новая статья",E28/C28))</f>
        <v/>
      </c>
      <c r="G28" s="20" t="n">
        <v>35000000</v>
      </c>
      <c r="H28" s="20" t="n">
        <v>30000000</v>
      </c>
      <c r="I28" s="20" t="n">
        <v>5000000</v>
      </c>
      <c r="J28" s="21">
        <f>G28+H28+I28-E28</f>
        <v/>
      </c>
      <c r="K28" s="23" t="inlineStr">
        <is>
          <t>Индекс кабеля и щитового оборудования на исходную нагрузку. Рост установленной мощности и замена сечений по новой рабочей документации. Надбавка за срочную поставку отнесена к иным причинам.</t>
        </is>
      </c>
      <c r="L28" s="24" t="inlineStr">
        <is>
          <t>Высокий</t>
        </is>
      </c>
      <c r="M28" s="23" t="inlineStr">
        <is>
          <t>Нагрузка не подтверждена окончательными техническими условиями. Спецификация щитов открыта.</t>
        </is>
      </c>
      <c r="N28" s="24" t="inlineStr">
        <is>
          <t>Б</t>
        </is>
      </c>
    </row>
    <row r="29" outlineLevel="2" ht="48" customHeight="1">
      <c r="A29" s="13" t="inlineStr">
        <is>
          <t>03.02.04</t>
        </is>
      </c>
      <c r="B29" s="16" t="inlineStr">
        <is>
          <t>Сети связи, АПС, СОУЭ, СКУД, автоматизация и диспетчеризация</t>
        </is>
      </c>
      <c r="C29" s="20" t="n">
        <v>210000000</v>
      </c>
      <c r="D29" s="20" t="n">
        <v>250000000</v>
      </c>
      <c r="E29" s="21">
        <f>D29-C29</f>
        <v/>
      </c>
      <c r="F29" s="22">
        <f>IF(AND(C29=0,D29=0),"—",IF(C29=0,"новая статья",E29/C29))</f>
        <v/>
      </c>
      <c r="G29" s="20" t="n">
        <v>15000000</v>
      </c>
      <c r="H29" s="20" t="n">
        <v>20000000</v>
      </c>
      <c r="I29" s="20" t="n">
        <v>5000000</v>
      </c>
      <c r="J29" s="21">
        <f>G29+H29+I29-E29</f>
        <v/>
      </c>
      <c r="K29" s="23" t="inlineStr">
        <is>
          <t>Расширение состава систем относительно исходного задания на проектирование. Индекс на исходный комплект. Надбавка вендора сверх двух независимых аналогов отнесена к иным причинам.</t>
        </is>
      </c>
      <c r="L29" s="24" t="inlineStr">
        <is>
          <t>Высокий</t>
        </is>
      </c>
      <c r="M29" s="23" t="inlineStr">
        <is>
          <t>Задание на слаботочные системы пересматривается. Договоры не заключены.</t>
        </is>
      </c>
      <c r="N29" s="24" t="inlineStr">
        <is>
          <t>В</t>
        </is>
      </c>
    </row>
    <row r="30" outlineLevel="2" ht="48" customHeight="1">
      <c r="A30" s="13" t="inlineStr">
        <is>
          <t>03.02.05</t>
        </is>
      </c>
      <c r="B30" s="16" t="inlineStr">
        <is>
          <t>Системы противопожарной защиты и прочие внутренние системы</t>
        </is>
      </c>
      <c r="C30" s="20" t="n">
        <v>130000000</v>
      </c>
      <c r="D30" s="20" t="n">
        <v>140000000</v>
      </c>
      <c r="E30" s="21">
        <f>D30-C30</f>
        <v/>
      </c>
      <c r="F30" s="22">
        <f>IF(AND(C30=0,D30=0),"—",IF(C30=0,"новая статья",E30/C30))</f>
        <v/>
      </c>
      <c r="G30" s="20" t="n">
        <v>8000000</v>
      </c>
      <c r="H30" s="20" t="n">
        <v>2000000</v>
      </c>
      <c r="I30" s="20" t="n">
        <v>0</v>
      </c>
      <c r="J30" s="21">
        <f>G30+H30+I30-E30</f>
        <v/>
      </c>
      <c r="K30" s="23" t="inlineStr">
        <is>
          <t>Индекс на исходные системы. Локальное расширение зон покрытия по новой планировке.</t>
        </is>
      </c>
      <c r="L30" s="24" t="inlineStr">
        <is>
          <t>Средний</t>
        </is>
      </c>
      <c r="M30" s="23" t="inlineStr">
        <is>
          <t>Состав зависит от финальной редакции пожарного раздела.</t>
        </is>
      </c>
      <c r="N30" s="24" t="inlineStr">
        <is>
          <t>Б</t>
        </is>
      </c>
    </row>
    <row r="31" outlineLevel="1" ht="48" customHeight="1">
      <c r="A31" s="10" t="inlineStr">
        <is>
          <t>03.03</t>
        </is>
      </c>
      <c r="B31" s="15" t="inlineStr">
        <is>
          <t>Наружные инженерные сети и благоустройство</t>
        </is>
      </c>
      <c r="C31" s="18">
        <f>SUM(C32,C33,C34,C35,C36)</f>
        <v/>
      </c>
      <c r="D31" s="18">
        <f>SUM(D32,D33,D34,D35,D36)</f>
        <v/>
      </c>
      <c r="E31" s="18">
        <f>D31-C31</f>
        <v/>
      </c>
      <c r="F31" s="19">
        <f>IF(AND(C31=0,D31=0),"—",IF(C31=0,"новая статья",E31/C31))</f>
        <v/>
      </c>
      <c r="G31" s="18">
        <f>SUM(G32,G33,G34,G35,G36)</f>
        <v/>
      </c>
      <c r="H31" s="18">
        <f>SUM(H32,H33,H34,H35,H36)</f>
        <v/>
      </c>
      <c r="I31" s="18">
        <f>SUM(I32,I33,I34,I35,I36)</f>
        <v/>
      </c>
      <c r="J31" s="18">
        <f>G31+H31+I31-E31</f>
        <v/>
      </c>
      <c r="K31" s="6" t="inlineStr">
        <is>
          <t>Свертка вложенных строк.</t>
        </is>
      </c>
      <c r="L31" s="10" t="inlineStr">
        <is>
          <t>Высокий</t>
        </is>
      </c>
      <c r="M31" s="6" t="inlineStr">
        <is>
          <t>Оценка агрегата — наихудшая существенная вложенная строка.</t>
        </is>
      </c>
      <c r="N31" s="10" t="n"/>
    </row>
    <row r="32" outlineLevel="2" ht="48" customHeight="1">
      <c r="A32" s="13" t="inlineStr">
        <is>
          <t>03.03.01</t>
        </is>
      </c>
      <c r="B32" s="16" t="inlineStr">
        <is>
          <t>Наружные сети водоснабжения, водоотведения и ливневой канализации</t>
        </is>
      </c>
      <c r="C32" s="20" t="n">
        <v>180000000</v>
      </c>
      <c r="D32" s="20" t="n">
        <v>210000000</v>
      </c>
      <c r="E32" s="21">
        <f>D32-C32</f>
        <v/>
      </c>
      <c r="F32" s="22">
        <f>IF(AND(C32=0,D32=0),"—",IF(C32=0,"новая статья",E32/C32))</f>
        <v/>
      </c>
      <c r="G32" s="20" t="n">
        <v>15000000</v>
      </c>
      <c r="H32" s="20" t="n">
        <v>12000000</v>
      </c>
      <c r="I32" s="20" t="n">
        <v>3000000</v>
      </c>
      <c r="J32" s="21">
        <f>G32+H32+I32-E32</f>
        <v/>
      </c>
      <c r="K32" s="23" t="inlineStr">
        <is>
          <t>Индекс земляных работ и труб на исходную трассу. Удлинение трасс по новому генеральному плану. Дополнительные согласования прокола, не вытекающие из проекта и из индекса, отнесены к иным причинам.</t>
        </is>
      </c>
      <c r="L32" s="24" t="inlineStr">
        <is>
          <t>Средний</t>
        </is>
      </c>
      <c r="M32" s="23" t="inlineStr">
        <is>
          <t>Часть трасс не согласована с балансодержателями.</t>
        </is>
      </c>
      <c r="N32" s="24" t="inlineStr">
        <is>
          <t>Б</t>
        </is>
      </c>
    </row>
    <row r="33" outlineLevel="2" ht="48" customHeight="1">
      <c r="A33" s="13" t="inlineStr">
        <is>
          <t>03.03.02</t>
        </is>
      </c>
      <c r="B33" s="16" t="inlineStr">
        <is>
          <t>Наружные сети теплоснабжения</t>
        </is>
      </c>
      <c r="C33" s="20" t="n">
        <v>90000000</v>
      </c>
      <c r="D33" s="20" t="n">
        <v>100000000</v>
      </c>
      <c r="E33" s="21">
        <f>D33-C33</f>
        <v/>
      </c>
      <c r="F33" s="22">
        <f>IF(AND(C33=0,D33=0),"—",IF(C33=0,"новая статья",E33/C33))</f>
        <v/>
      </c>
      <c r="G33" s="20" t="n">
        <v>7000000</v>
      </c>
      <c r="H33" s="20" t="n">
        <v>3000000</v>
      </c>
      <c r="I33" s="20" t="n">
        <v>0</v>
      </c>
      <c r="J33" s="21">
        <f>G33+H33+I33-E33</f>
        <v/>
      </c>
      <c r="K33" s="23" t="inlineStr">
        <is>
          <t>Индекс на исходную теплосеть. Небольшое увеличение диаметра по пересчету нагрузок.</t>
        </is>
      </c>
      <c r="L33" s="24" t="inlineStr">
        <is>
          <t>Низкий</t>
        </is>
      </c>
      <c r="M33" s="23" t="inlineStr">
        <is>
          <t>Технические условия получены, трасса согласована.</t>
        </is>
      </c>
      <c r="N33" s="24" t="inlineStr">
        <is>
          <t>А</t>
        </is>
      </c>
    </row>
    <row r="34" outlineLevel="2" ht="48" customHeight="1">
      <c r="A34" s="13" t="inlineStr">
        <is>
          <t>03.03.03</t>
        </is>
      </c>
      <c r="B34" s="16" t="inlineStr">
        <is>
          <t>Наружное электроснабжение и трансформаторные подстанции</t>
        </is>
      </c>
      <c r="C34" s="20" t="n">
        <v>200000000</v>
      </c>
      <c r="D34" s="20" t="n">
        <v>270000000</v>
      </c>
      <c r="E34" s="21">
        <f>D34-C34</f>
        <v/>
      </c>
      <c r="F34" s="22">
        <f>IF(AND(C34=0,D34=0),"—",IF(C34=0,"новая статья",E34/C34))</f>
        <v/>
      </c>
      <c r="G34" s="20" t="n">
        <v>16000000</v>
      </c>
      <c r="H34" s="20" t="n">
        <v>35000000</v>
      </c>
      <c r="I34" s="20" t="n">
        <v>19000000</v>
      </c>
      <c r="J34" s="21">
        <f>G34+H34+I34-E34</f>
        <v/>
      </c>
      <c r="K34" s="23" t="inlineStr">
        <is>
          <t>Индекс тарифа на исходную мощность относительно дефлятора T0. Дополнительная мощность по новым ТЭП вместе с платой за присоединение этой мощности по действующему тарифу отнесена к изменениям ПСД. Удлинение трассы по требованию сетевой организации отнесено к иным причинам.</t>
        </is>
      </c>
      <c r="L34" s="24" t="inlineStr">
        <is>
          <t>Высокий</t>
        </is>
      </c>
      <c r="M34" s="23" t="inlineStr">
        <is>
          <t>Договор технологического присоединения в редакции T1 не подписан. Тариф и трасса могут измениться до оплаты.</t>
        </is>
      </c>
      <c r="N34" s="24" t="inlineStr">
        <is>
          <t>Б</t>
        </is>
      </c>
    </row>
    <row r="35" outlineLevel="2" ht="48" customHeight="1">
      <c r="A35" s="13" t="inlineStr">
        <is>
          <t>03.03.04</t>
        </is>
      </c>
      <c r="B35" s="16" t="inlineStr">
        <is>
          <t>Наружные сети связи</t>
        </is>
      </c>
      <c r="C35" s="20" t="n">
        <v>40000000</v>
      </c>
      <c r="D35" s="20" t="n">
        <v>48000000</v>
      </c>
      <c r="E35" s="21">
        <f>D35-C35</f>
        <v/>
      </c>
      <c r="F35" s="22">
        <f>IF(AND(C35=0,D35=0),"—",IF(C35=0,"новая статья",E35/C35))</f>
        <v/>
      </c>
      <c r="G35" s="20" t="n">
        <v>3000000</v>
      </c>
      <c r="H35" s="20" t="n">
        <v>4000000</v>
      </c>
      <c r="I35" s="20" t="n">
        <v>1000000</v>
      </c>
      <c r="J35" s="21">
        <f>G35+H35+I35-E35</f>
        <v/>
      </c>
      <c r="K35" s="23" t="inlineStr">
        <is>
          <t>Индекс на исходные каналы. Дополнительные вводы под расширенный состав сетей связи. Разовая плата оператора сверх тарифа, заложенного дефлятором, отнесена к иным причинам.</t>
        </is>
      </c>
      <c r="L35" s="24" t="inlineStr">
        <is>
          <t>Низкий</t>
        </is>
      </c>
      <c r="M35" s="23" t="inlineStr">
        <is>
          <t>Объем небольшой и технически определен.</t>
        </is>
      </c>
      <c r="N35" s="24" t="inlineStr">
        <is>
          <t>Б</t>
        </is>
      </c>
    </row>
    <row r="36" outlineLevel="2" ht="48" customHeight="1">
      <c r="A36" s="13" t="inlineStr">
        <is>
          <t>03.03.05</t>
        </is>
      </c>
      <c r="B36" s="16" t="inlineStr">
        <is>
          <t>Дороги, благоустройство и малые архитектурные формы</t>
        </is>
      </c>
      <c r="C36" s="20" t="n">
        <v>190000000</v>
      </c>
      <c r="D36" s="20" t="n">
        <v>232000000</v>
      </c>
      <c r="E36" s="21">
        <f>D36-C36</f>
        <v/>
      </c>
      <c r="F36" s="22">
        <f>IF(AND(C36=0,D36=0),"—",IF(C36=0,"новая статья",E36/C36))</f>
        <v/>
      </c>
      <c r="G36" s="20" t="n">
        <v>14000000</v>
      </c>
      <c r="H36" s="20" t="n">
        <v>16000000</v>
      </c>
      <c r="I36" s="20" t="n">
        <v>12000000</v>
      </c>
      <c r="J36" s="21">
        <f>G36+H36+I36-E36</f>
        <v/>
      </c>
      <c r="K36" s="23" t="inlineStr">
        <is>
          <t>Индекс покрытий и озеленения исходного генерального плана. Рост площади твердых покрытий и малых форм по новому решению. Перенос работ на следующий сезон и зимнее удорожание отнесены к иным причинам.</t>
        </is>
      </c>
      <c r="L36" s="24" t="inlineStr">
        <is>
          <t>Высокий</t>
        </is>
      </c>
      <c r="M36" s="23" t="inlineStr">
        <is>
          <t>Проект благоустройства не заморожен. Работы стоят в конце графика и зависят от сезона.</t>
        </is>
      </c>
      <c r="N36" s="24" t="inlineStr">
        <is>
          <t>В</t>
        </is>
      </c>
    </row>
    <row r="37" outlineLevel="1" ht="48" customHeight="1">
      <c r="A37" s="13" t="inlineStr">
        <is>
          <t>03.04</t>
        </is>
      </c>
      <c r="B37" s="14" t="inlineStr">
        <is>
          <t>Технологическое оборудование и пусконаладка</t>
        </is>
      </c>
      <c r="C37" s="20" t="n">
        <v>0</v>
      </c>
      <c r="D37" s="20" t="n">
        <v>0</v>
      </c>
      <c r="E37" s="21">
        <f>D37-C37</f>
        <v/>
      </c>
      <c r="F37" s="22">
        <f>IF(AND(C37=0,D37=0),"—",IF(C37=0,"новая статья",E37/C37))</f>
        <v/>
      </c>
      <c r="G37" s="20" t="n">
        <v>0</v>
      </c>
      <c r="H37" s="20" t="n">
        <v>0</v>
      </c>
      <c r="I37" s="20" t="n">
        <v>0</v>
      </c>
      <c r="J37" s="21">
        <f>G37+H37+I37-E37</f>
        <v/>
      </c>
      <c r="K37" s="23" t="inlineStr">
        <is>
          <t>В условном периметре технологическое оборудование отсутствует. Строка сохраняется, чтобы классификатор не ломался на промышленном объекте.</t>
        </is>
      </c>
      <c r="L37" s="24" t="inlineStr">
        <is>
          <t>Низкий</t>
        </is>
      </c>
      <c r="M37" s="23" t="inlineStr">
        <is>
          <t>Строка не используется. При появлении технологии риск оценивается отдельно.</t>
        </is>
      </c>
      <c r="N37" s="24" t="inlineStr">
        <is>
          <t>А</t>
        </is>
      </c>
    </row>
    <row r="38" ht="48" customHeight="1">
      <c r="A38" s="10" t="inlineStr">
        <is>
          <t>04</t>
        </is>
      </c>
      <c r="B38" s="6" t="inlineStr">
        <is>
          <t>Затраты на управление проектом</t>
        </is>
      </c>
      <c r="C38" s="18">
        <f>SUM(C39,C40,C41)</f>
        <v/>
      </c>
      <c r="D38" s="18">
        <f>SUM(D39,D40,D41)</f>
        <v/>
      </c>
      <c r="E38" s="18">
        <f>D38-C38</f>
        <v/>
      </c>
      <c r="F38" s="19">
        <f>IF(AND(C38=0,D38=0),"—",IF(C38=0,"новая статья",E38/C38))</f>
        <v/>
      </c>
      <c r="G38" s="18">
        <f>SUM(G39,G40,G41)</f>
        <v/>
      </c>
      <c r="H38" s="18">
        <f>SUM(H39,H40,H41)</f>
        <v/>
      </c>
      <c r="I38" s="18">
        <f>SUM(I39,I40,I41)</f>
        <v/>
      </c>
      <c r="J38" s="18">
        <f>G38+H38+I38-E38</f>
        <v/>
      </c>
      <c r="K38" s="6" t="inlineStr">
        <is>
          <t>Свертка вложенных строк.</t>
        </is>
      </c>
      <c r="L38" s="10" t="inlineStr">
        <is>
          <t>Высокий</t>
        </is>
      </c>
      <c r="M38" s="6" t="inlineStr">
        <is>
          <t>Оценка агрегата — наихудшая существенная вложенная строка.</t>
        </is>
      </c>
      <c r="N38" s="10" t="n"/>
    </row>
    <row r="39" outlineLevel="1" ht="48" customHeight="1">
      <c r="A39" s="13" t="inlineStr">
        <is>
          <t>04.01</t>
        </is>
      </c>
      <c r="B39" s="14" t="inlineStr">
        <is>
          <t>Служба заказчика и технический заказчик</t>
        </is>
      </c>
      <c r="C39" s="20" t="n">
        <v>210000000</v>
      </c>
      <c r="D39" s="20" t="n">
        <v>270000000</v>
      </c>
      <c r="E39" s="21">
        <f>D39-C39</f>
        <v/>
      </c>
      <c r="F39" s="22">
        <f>IF(AND(C39=0,D39=0),"—",IF(C39=0,"новая статья",E39/C39))</f>
        <v/>
      </c>
      <c r="G39" s="20" t="n">
        <v>14000000</v>
      </c>
      <c r="H39" s="20" t="n">
        <v>10000000</v>
      </c>
      <c r="I39" s="20" t="n">
        <v>36000000</v>
      </c>
      <c r="J39" s="21">
        <f>G39+H39+I39-E39</f>
        <v/>
      </c>
      <c r="K39" s="23" t="inlineStr">
        <is>
          <t>Индексация оплаты труда исходной численности на исходный срок. Дополнительная численность под новые разделы фасадов и наружных сетей. Содержание исходной команды на месяцы сверх графика T0.</t>
        </is>
      </c>
      <c r="L39" s="24" t="inlineStr">
        <is>
          <t>Высокий</t>
        </is>
      </c>
      <c r="M39" s="23" t="inlineStr">
        <is>
          <t>Срок ввода в модели T1 уже сдвинут. Следующий сдвиг увеличивает помесячные затраты почти линейно. Резерв на этот сдвиг в строке не заложен.</t>
        </is>
      </c>
      <c r="N39" s="24" t="inlineStr">
        <is>
          <t>А</t>
        </is>
      </c>
    </row>
    <row r="40" outlineLevel="1" ht="48" customHeight="1">
      <c r="A40" s="13" t="inlineStr">
        <is>
          <t>04.02</t>
        </is>
      </c>
      <c r="B40" s="14" t="inlineStr">
        <is>
          <t>Вознаграждение генподрядчика либо управляющего строительством</t>
        </is>
      </c>
      <c r="C40" s="20" t="n">
        <v>180000000</v>
      </c>
      <c r="D40" s="20" t="n">
        <v>210000000</v>
      </c>
      <c r="E40" s="21">
        <f>D40-C40</f>
        <v/>
      </c>
      <c r="F40" s="22">
        <f>IF(AND(C40=0,D40=0),"—",IF(C40=0,"новая статья",E40/C40))</f>
        <v/>
      </c>
      <c r="G40" s="20" t="n">
        <v>12000000</v>
      </c>
      <c r="H40" s="20" t="n">
        <v>12000000</v>
      </c>
      <c r="I40" s="20" t="n">
        <v>6000000</v>
      </c>
      <c r="J40" s="21">
        <f>G40+H40+I40-E40</f>
        <v/>
      </c>
      <c r="K40" s="23" t="inlineStr">
        <is>
          <t>Процент генподряда по исходной ставке на инфляционную и проектную части базы СМР. Изменение ставки и возмещаемые общеплощадочные затраты сверх процента отнесены к иным причинам. В модели без генподрядчика в строку ставится плата управляющему, а не пустое место без объяснения.</t>
        </is>
      </c>
      <c r="L40" s="24" t="inlineStr">
        <is>
          <t>Средний</t>
        </is>
      </c>
      <c r="M40" s="23" t="inlineStr">
        <is>
          <t>Ставка процента зафиксирована. Возмещаемая часть при пролонгации остается открытой.</t>
        </is>
      </c>
      <c r="N40" s="24" t="inlineStr">
        <is>
          <t>А</t>
        </is>
      </c>
    </row>
    <row r="41" outlineLevel="1" ht="48" customHeight="1">
      <c r="A41" s="13" t="inlineStr">
        <is>
          <t>04.03</t>
        </is>
      </c>
      <c r="B41" s="14" t="inlineStr">
        <is>
          <t>Строительный контроль, охрана труда, качество и охрана площадки</t>
        </is>
      </c>
      <c r="C41" s="20" t="n">
        <v>90000000</v>
      </c>
      <c r="D41" s="20" t="n">
        <v>110000000</v>
      </c>
      <c r="E41" s="21">
        <f>D41-C41</f>
        <v/>
      </c>
      <c r="F41" s="22">
        <f>IF(AND(C41=0,D41=0),"—",IF(C41=0,"новая статья",E41/C41))</f>
        <v/>
      </c>
      <c r="G41" s="20" t="n">
        <v>4000000</v>
      </c>
      <c r="H41" s="20" t="n">
        <v>3000000</v>
      </c>
      <c r="I41" s="20" t="n">
        <v>13000000</v>
      </c>
      <c r="J41" s="21">
        <f>G41+H41+I41-E41</f>
        <v/>
      </c>
      <c r="K41" s="23" t="inlineStr">
        <is>
          <t>Индекс ставок строительного контроля на исходный срок. Расширение программы контроля под новые системы. Охрана и содержание надзора на месяцы пролонгации.</t>
        </is>
      </c>
      <c r="L41" s="24" t="inlineStr">
        <is>
          <t>Высокий</t>
        </is>
      </c>
      <c r="M41" s="23" t="inlineStr">
        <is>
          <t>Затраты длятся до фактического ввода, а не до плановой даты T1.</t>
        </is>
      </c>
      <c r="N41" s="24" t="inlineStr">
        <is>
          <t>Б</t>
        </is>
      </c>
    </row>
    <row r="42" ht="48" customHeight="1">
      <c r="A42" s="10" t="inlineStr">
        <is>
          <t>05</t>
        </is>
      </c>
      <c r="B42" s="6" t="inlineStr">
        <is>
          <t>Коммерческие и маркетинговые расходы</t>
        </is>
      </c>
      <c r="C42" s="18">
        <f>SUM(C43,C44,C45)</f>
        <v/>
      </c>
      <c r="D42" s="18">
        <f>SUM(D43,D44,D45)</f>
        <v/>
      </c>
      <c r="E42" s="18">
        <f>D42-C42</f>
        <v/>
      </c>
      <c r="F42" s="19">
        <f>IF(AND(C42=0,D42=0),"—",IF(C42=0,"новая статья",E42/C42))</f>
        <v/>
      </c>
      <c r="G42" s="18">
        <f>SUM(G43,G44,G45)</f>
        <v/>
      </c>
      <c r="H42" s="18">
        <f>SUM(H43,H44,H45)</f>
        <v/>
      </c>
      <c r="I42" s="18">
        <f>SUM(I43,I44,I45)</f>
        <v/>
      </c>
      <c r="J42" s="18">
        <f>G42+H42+I42-E42</f>
        <v/>
      </c>
      <c r="K42" s="6" t="inlineStr">
        <is>
          <t>Свертка вложенных строк.</t>
        </is>
      </c>
      <c r="L42" s="10" t="inlineStr">
        <is>
          <t>Средний</t>
        </is>
      </c>
      <c r="M42" s="6" t="inlineStr">
        <is>
          <t>Оценка агрегата — наихудшая существенная вложенная строка.</t>
        </is>
      </c>
      <c r="N42" s="10" t="n"/>
    </row>
    <row r="43" outlineLevel="1" ht="48" customHeight="1">
      <c r="A43" s="13" t="inlineStr">
        <is>
          <t>05.01</t>
        </is>
      </c>
      <c r="B43" s="14" t="inlineStr">
        <is>
          <t>Продвижение и реклама</t>
        </is>
      </c>
      <c r="C43" s="20" t="n">
        <v>80000000</v>
      </c>
      <c r="D43" s="20" t="n">
        <v>95000000</v>
      </c>
      <c r="E43" s="21">
        <f>D43-C43</f>
        <v/>
      </c>
      <c r="F43" s="22">
        <f>IF(AND(C43=0,D43=0),"—",IF(C43=0,"новая статья",E43/C43))</f>
        <v/>
      </c>
      <c r="G43" s="20" t="n">
        <v>6000000</v>
      </c>
      <c r="H43" s="20" t="n">
        <v>0</v>
      </c>
      <c r="I43" s="20" t="n">
        <v>9000000</v>
      </c>
      <c r="J43" s="21">
        <f>G43+H43+I43-E43</f>
        <v/>
      </c>
      <c r="K43" s="23" t="inlineStr">
        <is>
          <t>Медиаинфляция исходного плана размещений относительно дефлятора T0. Удлинение кампании и дополнительные каналы. Изменение продукта на медиаплан не повлияло, поэтому фактор ПСД равен нулю.</t>
        </is>
      </c>
      <c r="L43" s="24" t="inlineStr">
        <is>
          <t>Средний</t>
        </is>
      </c>
      <c r="M43" s="23" t="inlineStr">
        <is>
          <t>Бюджет привязан к темпу продаж. Строительный дефлятор к этой строке не применяется.</t>
        </is>
      </c>
      <c r="N43" s="24" t="inlineStr">
        <is>
          <t>Б</t>
        </is>
      </c>
    </row>
    <row r="44" outlineLevel="1" ht="48" customHeight="1">
      <c r="A44" s="13" t="inlineStr">
        <is>
          <t>05.02</t>
        </is>
      </c>
      <c r="B44" s="14" t="inlineStr">
        <is>
          <t>Офис продаж и демонстрационные площади</t>
        </is>
      </c>
      <c r="C44" s="20" t="n">
        <v>50000000</v>
      </c>
      <c r="D44" s="20" t="n">
        <v>55000000</v>
      </c>
      <c r="E44" s="21">
        <f>D44-C44</f>
        <v/>
      </c>
      <c r="F44" s="22">
        <f>IF(AND(C44=0,D44=0),"—",IF(C44=0,"новая статья",E44/C44))</f>
        <v/>
      </c>
      <c r="G44" s="20" t="n">
        <v>3000000</v>
      </c>
      <c r="H44" s="20" t="n">
        <v>0</v>
      </c>
      <c r="I44" s="20" t="n">
        <v>2000000</v>
      </c>
      <c r="J44" s="21">
        <f>G44+H44+I44-E44</f>
        <v/>
      </c>
      <c r="K44" s="23" t="inlineStr">
        <is>
          <t>Индекс стоимости исходного шоурума. Сверхиндексная отделка принята коммерческим решением и не зафиксирована как изменение проектной документации продаваемого объекта. Строительная часть шоурума в группу 03 повторно не включена.</t>
        </is>
      </c>
      <c r="L44" s="24" t="inlineStr">
        <is>
          <t>Низкий</t>
        </is>
      </c>
      <c r="M44" s="23" t="inlineStr">
        <is>
          <t>Объект показа завершен.</t>
        </is>
      </c>
      <c r="N44" s="24" t="inlineStr">
        <is>
          <t>Б</t>
        </is>
      </c>
    </row>
    <row r="45" outlineLevel="1" ht="48" customHeight="1">
      <c r="A45" s="13" t="inlineStr">
        <is>
          <t>05.03</t>
        </is>
      </c>
      <c r="B45" s="14" t="inlineStr">
        <is>
          <t>Вознаграждение брокеров и каналов продаж</t>
        </is>
      </c>
      <c r="C45" s="20" t="n">
        <v>90000000</v>
      </c>
      <c r="D45" s="20" t="n">
        <v>100000000</v>
      </c>
      <c r="E45" s="21">
        <f>D45-C45</f>
        <v/>
      </c>
      <c r="F45" s="22">
        <f>IF(AND(C45=0,D45=0),"—",IF(C45=0,"новая статья",E45/C45))</f>
        <v/>
      </c>
      <c r="G45" s="20" t="n">
        <v>3000000</v>
      </c>
      <c r="H45" s="20" t="n">
        <v>0</v>
      </c>
      <c r="I45" s="20" t="n">
        <v>7000000</v>
      </c>
      <c r="J45" s="21">
        <f>G45+H45+I45-E45</f>
        <v/>
      </c>
      <c r="K45" s="23" t="inlineStr">
        <is>
          <t>Ценовой индекс сопровождения исходного объема. Рост ставки комиссии и эффект более высокого прайса. Продаваемая площадь не изменилась, поэтому фактор ПСД равен нулю.</t>
        </is>
      </c>
      <c r="L45" s="24" t="inlineStr">
        <is>
          <t>Средний</t>
        </is>
      </c>
      <c r="M45" s="23" t="inlineStr">
        <is>
          <t>Комиссия платится с фактических регистраций до выбора остатка.</t>
        </is>
      </c>
      <c r="N45" s="24" t="inlineStr">
        <is>
          <t>А</t>
        </is>
      </c>
    </row>
    <row r="46" ht="48" customHeight="1">
      <c r="A46" s="10" t="inlineStr">
        <is>
          <t>06</t>
        </is>
      </c>
      <c r="B46" s="6" t="inlineStr">
        <is>
          <t>Финансовые и прочие затраты</t>
        </is>
      </c>
      <c r="C46" s="18">
        <f>SUM(C47,C48,C49,C50)</f>
        <v/>
      </c>
      <c r="D46" s="18">
        <f>SUM(D47,D48,D49,D50)</f>
        <v/>
      </c>
      <c r="E46" s="18">
        <f>D46-C46</f>
        <v/>
      </c>
      <c r="F46" s="19">
        <f>IF(AND(C46=0,D46=0),"—",IF(C46=0,"новая статья",E46/C46))</f>
        <v/>
      </c>
      <c r="G46" s="18">
        <f>SUM(G47,G48,G49,G50)</f>
        <v/>
      </c>
      <c r="H46" s="18">
        <f>SUM(H47,H48,H49,H50)</f>
        <v/>
      </c>
      <c r="I46" s="18">
        <f>SUM(I47,I48,I49,I50)</f>
        <v/>
      </c>
      <c r="J46" s="18">
        <f>G46+H46+I46-E46</f>
        <v/>
      </c>
      <c r="K46" s="6" t="inlineStr">
        <is>
          <t>Свертка вложенных строк.</t>
        </is>
      </c>
      <c r="L46" s="10" t="inlineStr">
        <is>
          <t>Высокий</t>
        </is>
      </c>
      <c r="M46" s="6" t="inlineStr">
        <is>
          <t>Оценка агрегата — наихудшая существенная вложенная строка.</t>
        </is>
      </c>
      <c r="N46" s="10" t="n"/>
    </row>
    <row r="47" outlineLevel="1" ht="48" customHeight="1">
      <c r="A47" s="13" t="inlineStr">
        <is>
          <t>06.01</t>
        </is>
      </c>
      <c r="B47" s="14" t="inlineStr">
        <is>
          <t>Проценты на инвестиционной фазе</t>
        </is>
      </c>
      <c r="C47" s="20" t="n">
        <v>980000000</v>
      </c>
      <c r="D47" s="20" t="n">
        <v>1025000000</v>
      </c>
      <c r="E47" s="21">
        <f>D47-C47</f>
        <v/>
      </c>
      <c r="F47" s="22">
        <f>IF(AND(C47=0,D47=0),"—",IF(C47=0,"новая статья",E47/C47))</f>
        <v/>
      </c>
      <c r="G47" s="20" t="n">
        <v>15000000</v>
      </c>
      <c r="H47" s="20" t="n">
        <v>12000000</v>
      </c>
      <c r="I47" s="20" t="n">
        <v>18000000</v>
      </c>
      <c r="J47" s="21">
        <f>G47+H47+I47-E47</f>
        <v/>
      </c>
      <c r="K47" s="23" t="inlineStr">
        <is>
          <t>Результат сценарного пересчета кредитной модели, а не процент от СМР. F1 — проценты на дополнительное тело долга из-за инфляции исходного объема. F2 — проценты на тело, вызванное изменениями ПСД. F3 — удлинение срока выборки и пересмотр ставки.</t>
        </is>
      </c>
      <c r="L47" s="24" t="inlineStr">
        <is>
          <t>Высокий</t>
        </is>
      </c>
      <c r="M47" s="23" t="inlineStr">
        <is>
          <t>Остаток долга не зафиксирован по ставке. Следующий сдвиг ввода увеличит строку сверх бюджета T1.</t>
        </is>
      </c>
      <c r="N47" s="24" t="inlineStr">
        <is>
          <t>Б</t>
        </is>
      </c>
    </row>
    <row r="48" outlineLevel="1" ht="48" customHeight="1">
      <c r="A48" s="13" t="inlineStr">
        <is>
          <t>06.02</t>
        </is>
      </c>
      <c r="B48" s="14" t="inlineStr">
        <is>
          <t>Страхование</t>
        </is>
      </c>
      <c r="C48" s="20" t="n">
        <v>70000000</v>
      </c>
      <c r="D48" s="20" t="n">
        <v>78000000</v>
      </c>
      <c r="E48" s="21">
        <f>D48-C48</f>
        <v/>
      </c>
      <c r="F48" s="22">
        <f>IF(AND(C48=0,D48=0),"—",IF(C48=0,"новая статья",E48/C48))</f>
        <v/>
      </c>
      <c r="G48" s="20" t="n">
        <v>3000000</v>
      </c>
      <c r="H48" s="20" t="n">
        <v>2000000</v>
      </c>
      <c r="I48" s="20" t="n">
        <v>3000000</v>
      </c>
      <c r="J48" s="21">
        <f>G48+H48+I48-E48</f>
        <v/>
      </c>
      <c r="K48" s="23" t="inlineStr">
        <is>
          <t>Страховая сумма выросла вместе с инфляционной и проектной частями стоимости по исходному тарифу. Удлинение полиса и расширение покрытия отнесены к иным причинам.</t>
        </is>
      </c>
      <c r="L48" s="24" t="inlineStr">
        <is>
          <t>Средний</t>
        </is>
      </c>
      <c r="M48" s="23" t="inlineStr">
        <is>
          <t>При следующем сдвиге срока полис почти наверняка продлевается.</t>
        </is>
      </c>
      <c r="N48" s="24" t="inlineStr">
        <is>
          <t>Б</t>
        </is>
      </c>
    </row>
    <row r="49" outlineLevel="1" ht="48" customHeight="1">
      <c r="A49" s="13" t="inlineStr">
        <is>
          <t>06.03</t>
        </is>
      </c>
      <c r="B49" s="14" t="inlineStr">
        <is>
          <t>Резерв непредвиденных расходов</t>
        </is>
      </c>
      <c r="C49" s="20" t="n">
        <v>350000000</v>
      </c>
      <c r="D49" s="20" t="n">
        <v>340000000</v>
      </c>
      <c r="E49" s="21">
        <f>D49-C49</f>
        <v/>
      </c>
      <c r="F49" s="22">
        <f>IF(AND(C49=0,D49=0),"—",IF(C49=0,"новая статья",E49/C49))</f>
        <v/>
      </c>
      <c r="G49" s="20" t="n">
        <v>0</v>
      </c>
      <c r="H49" s="20" t="n">
        <v>0</v>
      </c>
      <c r="I49" s="20" t="n">
        <v>-10000000</v>
      </c>
      <c r="J49" s="21">
        <f>G49+H49+I49-E49</f>
        <v/>
      </c>
      <c r="K49" s="23" t="inlineStr">
        <is>
          <t>Резерв не индексируется и не является изменением ПСД. Снижение на 10 млн руб. — использование резерва на отклонения, уже показанные в профильных статьях. Это источник финансирования, а не экономия инфляции. Повторно из профильных статей сумма не исключается.</t>
        </is>
      </c>
      <c r="L49" s="24" t="inlineStr">
        <is>
          <t>Высокий</t>
        </is>
      </c>
      <c r="M49" s="23" t="inlineStr">
        <is>
          <t>Остаток резерва ниже ожидаемой стоимости уже названных открытых пакетов: фасад, сети, ставка кредита.</t>
        </is>
      </c>
      <c r="N49" s="24" t="inlineStr">
        <is>
          <t>А</t>
        </is>
      </c>
    </row>
    <row r="50" outlineLevel="1" ht="48" customHeight="1">
      <c r="A50" s="13" t="inlineStr">
        <is>
          <t>06.04</t>
        </is>
      </c>
      <c r="B50" s="14" t="inlineStr">
        <is>
          <t>Комиссии, гарантии, обязательные платежи и консультации</t>
        </is>
      </c>
      <c r="C50" s="20" t="n">
        <v>100000000</v>
      </c>
      <c r="D50" s="20" t="n">
        <v>117000000</v>
      </c>
      <c r="E50" s="21">
        <f>D50-C50</f>
        <v/>
      </c>
      <c r="F50" s="22">
        <f>IF(AND(C50=0,D50=0),"—",IF(C50=0,"новая статья",E50/C50))</f>
        <v/>
      </c>
      <c r="G50" s="20" t="n">
        <v>2000000</v>
      </c>
      <c r="H50" s="20" t="n">
        <v>1000000</v>
      </c>
      <c r="I50" s="20" t="n">
        <v>14000000</v>
      </c>
      <c r="J50" s="21">
        <f>G50+H50+I50-E50</f>
        <v/>
      </c>
      <c r="K50" s="23" t="inlineStr">
        <is>
          <t>Индекс комиссий и юридических услуг на исходный периметр. Дополнительные заключения в связи с повторной экспертизой. Пролонгация гарантий и обязательные платежи периода сверх исходного графика.</t>
        </is>
      </c>
      <c r="L50" s="24" t="inlineStr">
        <is>
          <t>Средний</t>
        </is>
      </c>
      <c r="M50" s="23" t="inlineStr">
        <is>
          <t>Платежи завязаны на срок кредита и на дату ввода.</t>
        </is>
      </c>
      <c r="N50" s="24" t="inlineStr">
        <is>
          <t>Б</t>
        </is>
      </c>
    </row>
    <row r="51" ht="24" customHeight="1">
      <c r="A51" s="5" t="inlineStr">
        <is>
          <t>00</t>
        </is>
      </c>
      <c r="B51" s="25" t="inlineStr">
        <is>
          <t>Итого, сопоставимый периметр</t>
        </is>
      </c>
      <c r="C51" s="26">
        <f>SUM(C5,C10,C16,C38,C42,C46)</f>
        <v/>
      </c>
      <c r="D51" s="26">
        <f>SUM(D5,D10,D16,D38,D42,D46)</f>
        <v/>
      </c>
      <c r="E51" s="26">
        <f>SUM(E5,E10,E16,E38,E42,E46)</f>
        <v/>
      </c>
      <c r="F51" s="27">
        <f>IF(C51=0,"—",E51/C51)</f>
        <v/>
      </c>
      <c r="G51" s="26">
        <f>SUM(G5,G10,G16,G38,G42,G46)</f>
        <v/>
      </c>
      <c r="H51" s="26">
        <f>SUM(H5,H10,H16,H38,H42,H46)</f>
        <v/>
      </c>
      <c r="I51" s="26">
        <f>SUM(I5,I10,I16,I38,I42,I46)</f>
        <v/>
      </c>
      <c r="J51" s="26">
        <f>SUM(J5,J10,J16,J38,J42,J46)</f>
        <v/>
      </c>
      <c r="K51" s="25" t="inlineStr">
        <is>
          <t>F1 + F2 + F3 = отклонение.</t>
        </is>
      </c>
      <c r="L51" s="5" t="inlineStr">
        <is>
          <t>Высокий</t>
        </is>
      </c>
      <c r="M51" s="25" t="inlineStr">
        <is>
          <t>Риск итога определяется открытыми строками с оценкой «Высокий».</t>
        </is>
      </c>
      <c r="N51" s="5" t="n"/>
    </row>
  </sheetData>
  <autoFilter ref="A4:N51"/>
  <mergeCells count="2">
    <mergeCell ref="A2:N2"/>
    <mergeCell ref="A1:N1"/>
  </mergeCells>
  <conditionalFormatting sqref="J5:J51">
    <cfRule type="cellIs" priority="1" operator="between" dxfId="0">
      <formula>-1</formula>
      <formula>1</formula>
    </cfRule>
    <cfRule type="cellIs" priority="2" operator="notBetween" dxfId="1">
      <formula>-1</formula>
      <formula>1</formula>
    </cfRule>
  </conditionalFormatting>
  <conditionalFormatting sqref="L5:L51">
    <cfRule type="expression" priority="3" dxfId="2">
      <formula>L5="Высокий"</formula>
    </cfRule>
    <cfRule type="expression" priority="4" dxfId="3">
      <formula>L5="Средний"</formula>
    </cfRule>
    <cfRule type="expression" priority="5" dxfId="0">
      <formula>L5="Низкий"</formula>
    </cfRule>
  </conditionalFormatting>
  <dataValidations count="2">
    <dataValidation sqref="L5 L6 L7 L8 L9 L10 L11 L12 L13 L14 L15 L16 L17 L18 L19 L20 L21 L22 L23 L24 L25 L26 L27 L28 L29 L30 L31 L32 L33 L34 L35 L36 L37 L38 L39 L40 L41 L42 L43 L44 L45 L46 L47 L48 L49 L50" showDropDown="0" showInputMessage="0" showErrorMessage="0" allowBlank="1" type="list">
      <formula1>"Низкий,Средний,Высокий"</formula1>
    </dataValidation>
    <dataValidation sqref="N5 N6 N7 N8 N9 N10 N11 N12 N13 N14 N15 N16 N17 N18 N19 N20 N21 N22 N23 N24 N25 N26 N27 N28 N29 N30 N31 N32 N33 N34 N35 N36 N37 N38 N39 N40 N41 N42 N43 N44 N45 N46 N47 N48 N49 N50" showDropDown="0" showInputMessage="0" showErrorMessage="0" allowBlank="1" type="list">
      <formula1>"А,Б,В"</formula1>
    </dataValidation>
  </dataValidations>
  <pageMargins left="0.75" right="0.75" top="1" bottom="1" header="0.5" footer="0.5"/>
  <pageSetup orientation="landscape" paperSize="8" fitToHeight="0" fitToWidth="1"/>
  <headerFooter>
    <oddHeader>&amp;LПостатейный факторный анализ бюджета</oddHeader>
    <oddFooter>&amp;LРубли без НДС. Факторы в сумме равны отклонению.&amp;RСтр. &amp;P</oddFooter>
    <evenHeader/>
    <evenFooter/>
    <firstHeader/>
    <firstFooter/>
  </headerFooter>
</worksheet>
</file>

<file path=xl/worksheets/sheet5.xml><?xml version="1.0" encoding="utf-8"?>
<worksheet xmlns="http://schemas.openxmlformats.org/spreadsheetml/2006/main">
  <sheetPr>
    <tabColor rgb="00C65911"/>
    <outlinePr summaryBelow="1" summaryRight="1"/>
    <pageSetUpPr fitToPage="1"/>
  </sheetPr>
  <dimension ref="A1:G37"/>
  <sheetViews>
    <sheetView showGridLines="0" workbookViewId="0">
      <pane ySplit="3" topLeftCell="A4" activePane="bottomLeft" state="frozen"/>
      <selection pane="bottomLeft" activeCell="A1" sqref="A1"/>
    </sheetView>
  </sheetViews>
  <sheetFormatPr baseColWidth="8" defaultRowHeight="15"/>
  <cols>
    <col width="62" customWidth="1" min="1" max="1"/>
    <col width="28" customWidth="1" min="2" max="2"/>
    <col width="55" customWidth="1" min="3" max="3"/>
    <col width="18" customWidth="1" min="4" max="4"/>
    <col width="18" customWidth="1" min="5" max="5"/>
    <col width="18" customWidth="1" min="6" max="6"/>
    <col width="18" customWidth="1" min="7" max="7"/>
  </cols>
  <sheetData>
    <row r="1">
      <c r="A1" s="1" t="inlineStr">
        <is>
          <t>Калькулятор одной элементарной позиции</t>
        </is>
      </c>
    </row>
    <row r="2" ht="32" customHeight="1">
      <c r="A2" s="17" t="inlineStr">
        <is>
          <t>F1 = v0 × p0 × (Iex − 1).  F2 = v1 × pref − v0 × p0 × Iex.  F3 = v1 × (p1 − pref).  Если решение не изменилось, pref = p0 × Iex и вводится формулой. Если изменилось, pref — рыночная цена нового решения.</t>
        </is>
      </c>
    </row>
    <row r="4">
      <c r="A4" s="28" t="inlineStr">
        <is>
          <t>Пример 1. Решение не изменилось: монолит, 10 000 м³ → 11 200 м³</t>
        </is>
      </c>
    </row>
    <row r="5">
      <c r="A5" s="7" t="inlineStr">
        <is>
          <t>Исходный объем v0</t>
        </is>
      </c>
      <c r="B5" s="29" t="n">
        <v>10000</v>
      </c>
      <c r="C5" s="30" t="inlineStr">
        <is>
          <t>м³</t>
        </is>
      </c>
    </row>
    <row r="6">
      <c r="A6" s="7" t="inlineStr">
        <is>
          <t>Новый объем v1</t>
        </is>
      </c>
      <c r="B6" s="29" t="n">
        <v>11200</v>
      </c>
      <c r="C6" s="30" t="inlineStr">
        <is>
          <t>м³</t>
        </is>
      </c>
    </row>
    <row r="7">
      <c r="A7" s="7" t="inlineStr">
        <is>
          <t>Исходная цена p0</t>
        </is>
      </c>
      <c r="B7" s="29" t="n">
        <v>18000</v>
      </c>
      <c r="C7" s="30" t="inlineStr">
        <is>
          <t>руб. за единицу</t>
        </is>
      </c>
    </row>
    <row r="8">
      <c r="A8" s="7" t="inlineStr">
        <is>
          <t>Новая цена p1</t>
        </is>
      </c>
      <c r="B8" s="29" t="n">
        <v>22500</v>
      </c>
      <c r="C8" s="30" t="inlineStr">
        <is>
          <t>руб. за единицу</t>
        </is>
      </c>
    </row>
    <row r="9">
      <c r="A9" s="7" t="inlineStr">
        <is>
          <t>Коэффициент Iex</t>
        </is>
      </c>
      <c r="B9" s="31">
        <f>Индекс!B10</f>
        <v/>
      </c>
      <c r="C9" s="30" t="inlineStr">
        <is>
          <t>из листа «Индекс», пример 1</t>
        </is>
      </c>
    </row>
    <row r="10">
      <c r="A10" s="6" t="inlineStr">
        <is>
          <t>Цена-ориентир pref</t>
        </is>
      </c>
      <c r="B10" s="32">
        <f>B7*B9</f>
        <v/>
      </c>
      <c r="C10" s="33" t="inlineStr">
        <is>
          <t>p0 × Iex, решение не менялось</t>
        </is>
      </c>
    </row>
    <row r="12">
      <c r="A12" s="7" t="inlineStr">
        <is>
          <t>Базовый бюджет</t>
        </is>
      </c>
      <c r="B12" s="21">
        <f>B5*B7</f>
        <v/>
      </c>
    </row>
    <row r="13">
      <c r="A13" s="7" t="inlineStr">
        <is>
          <t>Откорректированный бюджет</t>
        </is>
      </c>
      <c r="B13" s="21">
        <f>B6*B8</f>
        <v/>
      </c>
    </row>
    <row r="14">
      <c r="A14" s="7" t="inlineStr">
        <is>
          <t>Отклонение</t>
        </is>
      </c>
      <c r="B14" s="21">
        <f>B13-B12</f>
        <v/>
      </c>
    </row>
    <row r="15">
      <c r="A15" s="12" t="inlineStr">
        <is>
          <t>Фактор 1. Инфляция</t>
        </is>
      </c>
      <c r="B15" s="21">
        <f>B5*B7*(B9-1)</f>
        <v/>
      </c>
    </row>
    <row r="16">
      <c r="A16" s="12" t="inlineStr">
        <is>
          <t>Фактор 2. Изменения ПСД</t>
        </is>
      </c>
      <c r="B16" s="21">
        <f>B6*B10-B5*B7*B9</f>
        <v/>
      </c>
    </row>
    <row r="17">
      <c r="A17" s="12" t="inlineStr">
        <is>
          <t>Фактор 3. Иные причины</t>
        </is>
      </c>
      <c r="B17" s="21">
        <f>B6*(B8-B10)</f>
        <v/>
      </c>
    </row>
    <row r="18">
      <c r="A18" s="6" t="inlineStr">
        <is>
          <t>Контроль</t>
        </is>
      </c>
      <c r="B18" s="34">
        <f>B15+B16+B17-B14</f>
        <v/>
      </c>
    </row>
    <row r="19">
      <c r="A19" s="12" t="inlineStr">
        <is>
          <t>Справочно: взаимодействие внутри фактора 2</t>
        </is>
      </c>
      <c r="B19" s="21">
        <f>(B6-B5)*B7*(B9-1)</f>
        <v/>
      </c>
      <c r="C19" s="2" t="inlineStr">
        <is>
          <t>В фактор 1 повторно не прибавляется</t>
        </is>
      </c>
    </row>
    <row r="21">
      <c r="A21" s="28" t="inlineStr">
        <is>
          <t>Пример 2. Замена решения: кладка 5 000 м² заменена вентилируемым фасадом 5 300 м²</t>
        </is>
      </c>
    </row>
    <row r="22">
      <c r="A22" s="7" t="inlineStr">
        <is>
          <t>Исходный объем v0</t>
        </is>
      </c>
      <c r="B22" s="29" t="n">
        <v>5000</v>
      </c>
    </row>
    <row r="23">
      <c r="A23" s="7" t="inlineStr">
        <is>
          <t>Новый объем v1</t>
        </is>
      </c>
      <c r="B23" s="29" t="n">
        <v>5300</v>
      </c>
    </row>
    <row r="24">
      <c r="A24" s="7" t="inlineStr">
        <is>
          <t>Исходная цена p0</t>
        </is>
      </c>
      <c r="B24" s="29" t="n">
        <v>4500</v>
      </c>
    </row>
    <row r="25">
      <c r="A25" s="7" t="inlineStr">
        <is>
          <t>Новая цена p1</t>
        </is>
      </c>
      <c r="B25" s="29" t="n">
        <v>9600</v>
      </c>
    </row>
    <row r="26">
      <c r="A26" s="7" t="inlineStr">
        <is>
          <t>Iex исходного решения</t>
        </is>
      </c>
      <c r="B26" s="35" t="n">
        <v>1.12</v>
      </c>
    </row>
    <row r="27">
      <c r="A27" s="7" t="inlineStr">
        <is>
          <t>Рыночная цена нового решения pref</t>
        </is>
      </c>
      <c r="B27" s="29" t="n">
        <v>9200</v>
      </c>
    </row>
    <row r="29">
      <c r="A29" s="7" t="inlineStr">
        <is>
          <t>Базовый бюджет</t>
        </is>
      </c>
      <c r="B29" s="21">
        <f>B22*B24</f>
        <v/>
      </c>
    </row>
    <row r="30">
      <c r="A30" s="7" t="inlineStr">
        <is>
          <t>Откорректированный бюджет</t>
        </is>
      </c>
      <c r="B30" s="21">
        <f>B23*B25</f>
        <v/>
      </c>
    </row>
    <row r="31">
      <c r="A31" s="7" t="inlineStr">
        <is>
          <t>Отклонение</t>
        </is>
      </c>
      <c r="B31" s="21">
        <f>B30-B29</f>
        <v/>
      </c>
    </row>
    <row r="32">
      <c r="A32" s="7" t="inlineStr">
        <is>
          <t>Фактор 1. Инфляция</t>
        </is>
      </c>
      <c r="B32" s="21">
        <f>B22*B24*(B26-1)</f>
        <v/>
      </c>
    </row>
    <row r="33">
      <c r="A33" s="7" t="inlineStr">
        <is>
          <t>Фактор 2. Изменения ПСД</t>
        </is>
      </c>
      <c r="B33" s="21">
        <f>B23*B27-B22*B24*B26</f>
        <v/>
      </c>
    </row>
    <row r="34">
      <c r="A34" s="7" t="inlineStr">
        <is>
          <t>Фактор 3. Иные причины</t>
        </is>
      </c>
      <c r="B34" s="21">
        <f>B23*(B25-B27)</f>
        <v/>
      </c>
    </row>
    <row r="35">
      <c r="A35" s="7" t="inlineStr">
        <is>
          <t>Контроль</t>
        </is>
      </c>
      <c r="B35" s="36">
        <f>B32+B33+B34-B31</f>
        <v/>
      </c>
    </row>
    <row r="37">
      <c r="A37" s="2" t="inlineStr">
        <is>
          <t>Инфляция в примере 2 относится только к снятой кладке. Стоимость нового фасада в фактор 1 не входит.</t>
        </is>
      </c>
    </row>
  </sheetData>
  <mergeCells count="2">
    <mergeCell ref="A37:C37"/>
    <mergeCell ref="A2:G2"/>
  </mergeCells>
  <pageMargins left="0.75" right="0.75" top="1" bottom="1" header="0.5" footer="0.5"/>
  <pageSetup orientation="landscape" paperSize="9" fitToHeight="1" fitToWidth="1"/>
</worksheet>
</file>

<file path=xl/worksheets/sheet6.xml><?xml version="1.0" encoding="utf-8"?>
<worksheet xmlns="http://schemas.openxmlformats.org/spreadsheetml/2006/main">
  <sheetPr>
    <tabColor rgb="00548235"/>
    <outlinePr summaryBelow="1" summaryRight="1"/>
    <pageSetUpPr fitToPage="1"/>
  </sheetPr>
  <dimension ref="A1:C31"/>
  <sheetViews>
    <sheetView showGridLines="0" workbookViewId="0">
      <pane ySplit="3" topLeftCell="A4" activePane="bottomLeft" state="frozen"/>
      <selection pane="bottomLeft" activeCell="A1" sqref="A1"/>
    </sheetView>
  </sheetViews>
  <sheetFormatPr baseColWidth="8" defaultRowHeight="15"/>
  <cols>
    <col width="48" customWidth="1" min="1" max="1"/>
    <col width="24" customWidth="1" min="2" max="2"/>
    <col width="78" customWidth="1" min="3" max="3"/>
  </cols>
  <sheetData>
    <row r="1">
      <c r="A1" s="1" t="inlineStr">
        <is>
          <t>Ориентировочный бюджет до рабочей документации</t>
        </is>
      </c>
    </row>
    <row r="2" ht="34" customHeight="1">
      <c r="A2" s="17" t="inlineStr">
        <is>
          <t>Исходного сметного объема нет. Инфляция считается на удельную ставку паспорта. К изменениям проекта относятся площадь и замена названного решения. Первый обсчет той же программы раскрывается внутри иных причин как F3d и вторым фактором не становится.</t>
        </is>
      </c>
    </row>
    <row r="4">
      <c r="A4" s="28" t="inlineStr">
        <is>
          <t>Паспорт и инфляция</t>
        </is>
      </c>
    </row>
    <row r="5">
      <c r="A5" s="7" t="inlineStr">
        <is>
          <t>Исходный измеритель Q0</t>
        </is>
      </c>
      <c r="B5" s="29" t="n">
        <v>50000</v>
      </c>
      <c r="C5" s="30" t="inlineStr">
        <is>
          <t>м² общей площади, как в модели T0</t>
        </is>
      </c>
    </row>
    <row r="6">
      <c r="A6" s="7" t="inlineStr">
        <is>
          <t>Удельная ставка a0</t>
        </is>
      </c>
      <c r="B6" s="29" t="n">
        <v>120000</v>
      </c>
      <c r="C6" s="30" t="inlineStr">
        <is>
          <t>руб. без НДС за единицу измерителя</t>
        </is>
      </c>
    </row>
    <row r="7">
      <c r="A7" s="7" t="inlineStr">
        <is>
          <t>Коэффициент Iex</t>
        </is>
      </c>
      <c r="B7" s="31" t="n">
        <v>1.25</v>
      </c>
      <c r="C7" s="30" t="inlineStr">
        <is>
          <t>дефлятор паспорта, не веса новой сметы</t>
        </is>
      </c>
    </row>
    <row r="8">
      <c r="A8" s="6" t="inlineStr">
        <is>
          <t>Базовый бюджет B0</t>
        </is>
      </c>
      <c r="B8" s="37">
        <f>B5*B6</f>
        <v/>
      </c>
      <c r="C8" s="33" t="inlineStr">
        <is>
          <t>a0 × Q0</t>
        </is>
      </c>
    </row>
    <row r="9">
      <c r="A9" s="6" t="inlineStr">
        <is>
          <t>Фактор 1. Инфляция</t>
        </is>
      </c>
      <c r="B9" s="37">
        <f>B8*(B7-1)</f>
        <v/>
      </c>
      <c r="C9" s="33" t="inlineStr">
        <is>
          <t>только на сумму паспорта</t>
        </is>
      </c>
    </row>
    <row r="10">
      <c r="A10" s="6" t="inlineStr">
        <is>
          <t>Проиндексированный паспорт</t>
        </is>
      </c>
      <c r="B10" s="37">
        <f>B8*B7</f>
        <v/>
      </c>
      <c r="C10" s="33" t="inlineStr">
        <is>
          <t>B0 × Iex</t>
        </is>
      </c>
    </row>
    <row r="12">
      <c r="A12" s="28" t="inlineStr">
        <is>
          <t>Отступление от паспорта</t>
        </is>
      </c>
    </row>
    <row r="13">
      <c r="A13" s="7" t="inlineStr">
        <is>
          <t>Измеритель T1, Q1</t>
        </is>
      </c>
      <c r="B13" s="29" t="n">
        <v>52000</v>
      </c>
      <c r="C13" s="30" t="inlineStr">
        <is>
          <t>новый ТЭП той же единицы измерения</t>
        </is>
      </c>
    </row>
    <row r="14" ht="32" customHeight="1">
      <c r="A14" s="7" t="inlineStr">
        <is>
          <t>Стоимость той же программы S</t>
        </is>
      </c>
      <c r="B14" s="20" t="n">
        <v>7750000000</v>
      </c>
      <c r="C14" s="30" t="inlineStr">
        <is>
          <t>рабочая документация и цены T1 без лишней площади и без замененного решения</t>
        </is>
      </c>
    </row>
    <row r="15">
      <c r="A15" s="7" t="inlineStr">
        <is>
          <t>Удельная стоимость той же программы</t>
        </is>
      </c>
      <c r="B15" s="38">
        <f>IF(B5=0,"",B14/B5)</f>
        <v/>
      </c>
      <c r="C15" s="30" t="inlineStr">
        <is>
          <t>S / Q0, руб. за единицу</t>
        </is>
      </c>
    </row>
    <row r="16">
      <c r="A16" s="7" t="inlineStr">
        <is>
          <t>Фактор 2 по измерителю</t>
        </is>
      </c>
      <c r="B16" s="21">
        <f>(B13-B5)*B15</f>
        <v/>
      </c>
      <c r="C16" s="30" t="inlineStr">
        <is>
          <t>приростная площадь в текущей полноте исходного стандарта</t>
        </is>
      </c>
    </row>
    <row r="17">
      <c r="A17" s="7" t="inlineStr">
        <is>
          <t>Стоимость нового решения на Q0</t>
        </is>
      </c>
      <c r="B17" s="20" t="n">
        <v>1400000000</v>
      </c>
      <c r="C17" s="30" t="inlineStr">
        <is>
          <t>замена решения, названного в паспорте</t>
        </is>
      </c>
    </row>
    <row r="18">
      <c r="A18" s="7" t="inlineStr">
        <is>
          <t>Доля замененного решения в ставке T0</t>
        </is>
      </c>
      <c r="B18" s="20" t="n">
        <v>800000000</v>
      </c>
      <c r="C18" s="30" t="inlineStr">
        <is>
          <t>Allowance0 из паспорта или аналога</t>
        </is>
      </c>
    </row>
    <row r="19">
      <c r="A19" s="6" t="inlineStr">
        <is>
          <t>U, чистая замена</t>
        </is>
      </c>
      <c r="B19" s="37">
        <f>B17-B18*B7</f>
        <v/>
      </c>
      <c r="C19" s="33" t="inlineStr">
        <is>
          <t>Cost1 − Allowance0 × Iex</t>
        </is>
      </c>
    </row>
    <row r="20">
      <c r="A20" s="6" t="inlineStr">
        <is>
          <t>Фактор 2. Изменения ПСД</t>
        </is>
      </c>
      <c r="B20" s="37">
        <f>B16+B19</f>
        <v/>
      </c>
      <c r="C20" s="33" t="inlineStr">
        <is>
          <t>площадь и замена; детализация сюда не входит</t>
        </is>
      </c>
    </row>
    <row r="22">
      <c r="A22" s="28" t="inlineStr">
        <is>
          <t>Факт, уточнение и прочие иные причины</t>
        </is>
      </c>
    </row>
    <row r="23">
      <c r="A23" s="7" t="inlineStr">
        <is>
          <t>Откорректированный бюджет B1</t>
        </is>
      </c>
      <c r="B23" s="20" t="n">
        <v>8560000000</v>
      </c>
      <c r="C23" s="30" t="inlineStr">
        <is>
          <t>статья T1, тот же периметр</t>
        </is>
      </c>
    </row>
    <row r="24">
      <c r="A24" s="6" t="inlineStr">
        <is>
          <t>Фактор 3. Иные причины</t>
        </is>
      </c>
      <c r="B24" s="37">
        <f>B23-B8-B9-B20</f>
        <v/>
      </c>
      <c r="C24" s="33" t="inlineStr">
        <is>
          <t>остаток после инфляции и отступлений от паспорта</t>
        </is>
      </c>
    </row>
    <row r="25">
      <c r="A25" s="39" t="inlineStr">
        <is>
          <t>В том числе F3d, уточнение по РД</t>
        </is>
      </c>
      <c r="B25" s="34">
        <f>B14-B10</f>
        <v/>
      </c>
      <c r="C25" s="40" t="inlineStr">
        <is>
          <t>S − проиндексированный паспорт; это не изменение проекта</t>
        </is>
      </c>
    </row>
    <row r="26">
      <c r="A26" s="7" t="inlineStr">
        <is>
          <t>В том числе прочие иные причины</t>
        </is>
      </c>
      <c r="B26" s="21">
        <f>B24-B25</f>
        <v/>
      </c>
      <c r="C26" s="30" t="inlineStr">
        <is>
          <t>срок, закупка, форс-мажор и налог</t>
        </is>
      </c>
    </row>
    <row r="27">
      <c r="A27" s="6" t="inlineStr">
        <is>
          <t>Отклонение</t>
        </is>
      </c>
      <c r="B27" s="37">
        <f>B23-B8</f>
        <v/>
      </c>
    </row>
    <row r="28">
      <c r="A28" s="39" t="inlineStr">
        <is>
          <t>Контроль тождества</t>
        </is>
      </c>
      <c r="B28" s="34">
        <f>B9+B20+B24-B27</f>
        <v/>
      </c>
      <c r="C28" s="40" t="inlineStr">
        <is>
          <t>F1 + F2 + F3 − отклонение, должно быть 0</t>
        </is>
      </c>
    </row>
    <row r="29">
      <c r="A29" s="39" t="inlineStr">
        <is>
          <t>Контроль состава B1</t>
        </is>
      </c>
      <c r="B29" s="34">
        <f>B14+B20+B26-B23</f>
        <v/>
      </c>
      <c r="C29" s="40" t="inlineStr">
        <is>
          <t>S + F2 + прочие иные − B1, должно быть 0</t>
        </is>
      </c>
    </row>
    <row r="31" ht="36" customHeight="1">
      <c r="A31" s="17" t="inlineStr">
        <is>
          <t>Числа листа — учебный пример раздела 5.10: 6,00 млрд руб. становятся 8,56 млрд руб. Из отклонения 2,56 млрд руб. инфляция паспорта составляет 1,50 млрд, изменения площади и фасада — 0,71 млрд, уточнение по рабочей документации — 0,25 млрд, прочие иные причины — 0,10 млрд.</t>
        </is>
      </c>
    </row>
  </sheetData>
  <mergeCells count="2">
    <mergeCell ref="A31:C31"/>
    <mergeCell ref="A2:C2"/>
  </mergeCells>
  <pageMargins left="0.75" right="0.75" top="1" bottom="1" header="0.5" footer="0.5"/>
  <pageSetup orientation="landscape" paperSize="9" fitToHeight="1" fitToWidth="1"/>
</worksheet>
</file>

<file path=xl/worksheets/sheet7.xml><?xml version="1.0" encoding="utf-8"?>
<worksheet xmlns="http://schemas.openxmlformats.org/spreadsheetml/2006/main">
  <sheetPr>
    <tabColor rgb="008064A2"/>
    <outlinePr summaryBelow="1" summaryRight="1"/>
    <pageSetUpPr fitToPage="1"/>
  </sheetPr>
  <dimension ref="A1:F12"/>
  <sheetViews>
    <sheetView showGridLines="0" workbookViewId="0">
      <pane ySplit="4" topLeftCell="A5" activePane="bottomLeft" state="frozen"/>
      <selection pane="bottomLeft" activeCell="A1" sqref="A1"/>
    </sheetView>
  </sheetViews>
  <sheetFormatPr baseColWidth="8" defaultRowHeight="15"/>
  <cols>
    <col width="48" customWidth="1" min="1" max="1"/>
    <col width="22" customWidth="1" min="2" max="2"/>
    <col width="28" customWidth="1" min="3" max="3"/>
    <col width="22" customWidth="1" min="4" max="4"/>
  </cols>
  <sheetData>
    <row r="1">
      <c r="A1" s="1" t="inlineStr">
        <is>
          <t>Сборка коэффициента инфляции Iex</t>
        </is>
      </c>
    </row>
    <row r="2" ht="36" customHeight="1">
      <c r="A2" s="17" t="inlineStr">
        <is>
          <t>Iex = сумма весов × индексов групп. Сумма весов обязана быть равна 1. Накладные расходы и прибыль процентом отдельным индексом не умножаются: они пересчитываются от проиндексированных прямых затрат по старым ставкам. Берется отношение индекса квартала T1 к индексу квартала T0, а не абсолютный индекс к базе 2001 года.</t>
        </is>
      </c>
    </row>
    <row r="4">
      <c r="A4" s="5" t="inlineStr">
        <is>
          <t>Ресурсная группа</t>
        </is>
      </c>
      <c r="B4" s="5" t="inlineStr">
        <is>
          <t>Вес в цене T0</t>
        </is>
      </c>
      <c r="C4" s="5" t="inlineStr">
        <is>
          <t>Индекс группы Iex</t>
        </is>
      </c>
      <c r="D4" s="5" t="inlineStr">
        <is>
          <t>Вклад в Iex</t>
        </is>
      </c>
    </row>
    <row r="5">
      <c r="A5" s="7" t="inlineStr">
        <is>
          <t>Материалы</t>
        </is>
      </c>
      <c r="B5" s="41" t="n">
        <v>0.62</v>
      </c>
      <c r="C5" s="31" t="n">
        <v>1.19</v>
      </c>
      <c r="D5" s="42">
        <f>B5*C5</f>
        <v/>
      </c>
    </row>
    <row r="6">
      <c r="A6" s="7" t="inlineStr">
        <is>
          <t>Машины и механизмы</t>
        </is>
      </c>
      <c r="B6" s="41" t="n">
        <v>0.11</v>
      </c>
      <c r="C6" s="31" t="n">
        <v>1.14</v>
      </c>
      <c r="D6" s="42">
        <f>B6*C6</f>
        <v/>
      </c>
    </row>
    <row r="7">
      <c r="A7" s="7" t="inlineStr">
        <is>
          <t>Оплата труда</t>
        </is>
      </c>
      <c r="B7" s="41" t="n">
        <v>0.27</v>
      </c>
      <c r="C7" s="31" t="n">
        <v>1.16</v>
      </c>
      <c r="D7" s="42">
        <f>B7*C7</f>
        <v/>
      </c>
    </row>
    <row r="8">
      <c r="A8" s="7" t="inlineStr">
        <is>
          <t>Перевозка, если выделена отдельно</t>
        </is>
      </c>
      <c r="B8" s="41" t="n">
        <v>0</v>
      </c>
      <c r="C8" s="31" t="n">
        <v>1</v>
      </c>
      <c r="D8" s="42">
        <f>B8*C8</f>
        <v/>
      </c>
    </row>
    <row r="9">
      <c r="A9" s="6" t="inlineStr">
        <is>
          <t>Сумма весов</t>
        </is>
      </c>
      <c r="B9" s="43">
        <f>SUM(B5:B8)</f>
        <v/>
      </c>
      <c r="C9" s="33" t="inlineStr">
        <is>
          <t>Должна быть равна 100%</t>
        </is>
      </c>
    </row>
    <row r="10">
      <c r="A10" s="39" t="inlineStr">
        <is>
          <t>Iex позиции</t>
        </is>
      </c>
      <c r="B10" s="44">
        <f>IF(ABS(B9-1)&gt;0.000001,"проверьте веса",SUM(D5:D8))</f>
        <v/>
      </c>
      <c r="C10" s="2" t="inlineStr">
        <is>
          <t>Этот коэффициент подставлен в пример 1 калькулятора позиции</t>
        </is>
      </c>
    </row>
    <row r="12" ht="32" customHeight="1">
      <c r="A12" s="17" t="inlineStr">
        <is>
          <t>Если бюджет T0 уже содержал прогнозный дефлятор, в колонку индекса ставится отношение фактического или нового прогнозного индекса к исходному прогнозу, а не полный рост от даты T0.</t>
        </is>
      </c>
    </row>
  </sheetData>
  <mergeCells count="2">
    <mergeCell ref="A2:F2"/>
    <mergeCell ref="A12:D12"/>
  </mergeCells>
  <conditionalFormatting sqref="B9">
    <cfRule type="cellIs" priority="1" operator="equal" dxfId="0">
      <formula>1</formula>
    </cfRule>
    <cfRule type="cellIs" priority="2" operator="notEqual" dxfId="1">
      <formula>1</formula>
    </cfRule>
  </conditionalFormatting>
  <pageMargins left="0.75" right="0.75" top="1" bottom="1" header="0.5" footer="0.5"/>
  <pageSetup orientation="landscape" fitToHeight="1" fitToWidth="1"/>
</worksheet>
</file>

<file path=xl/worksheets/sheet8.xml><?xml version="1.0" encoding="utf-8"?>
<worksheet xmlns="http://schemas.openxmlformats.org/spreadsheetml/2006/main">
  <sheetPr>
    <tabColor rgb="00833C0C"/>
    <outlinePr summaryBelow="1" summaryRight="1"/>
    <pageSetUpPr fitToPage="1"/>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8" customWidth="1" min="2" max="2"/>
    <col width="16" customWidth="1" min="3" max="3"/>
    <col width="16" customWidth="1" min="4" max="4"/>
    <col width="16" customWidth="1" min="5" max="5"/>
    <col width="16" customWidth="1" min="6" max="6"/>
    <col width="16" customWidth="1" min="7" max="7"/>
  </cols>
  <sheetData>
    <row r="1">
      <c r="A1" s="1" t="inlineStr">
        <is>
          <t>Процент, содержание команды и проценты по кредиту</t>
        </is>
      </c>
    </row>
    <row r="2">
      <c r="A2" s="2" t="inlineStr">
        <is>
          <t>Эти статьи считаются после разложения базы. Процент не индексируется вторым кругом. Ставка кредита не объявляется инфляцией СМР.</t>
        </is>
      </c>
    </row>
    <row r="4">
      <c r="A4" s="28" t="inlineStr">
        <is>
          <t>Вознаграждение: процент от базы плюс помесячное содержание</t>
        </is>
      </c>
    </row>
    <row r="5">
      <c r="A5" s="7" t="inlineStr">
        <is>
          <t>База T0, руб.</t>
        </is>
      </c>
      <c r="B5" s="45" t="n">
        <v>3100000000</v>
      </c>
    </row>
    <row r="6">
      <c r="A6" s="7" t="inlineStr">
        <is>
          <t>Фактор 1 базы, руб.</t>
        </is>
      </c>
      <c r="B6" s="45" t="n">
        <v>280000000</v>
      </c>
    </row>
    <row r="7">
      <c r="A7" s="7" t="inlineStr">
        <is>
          <t>Фактор 2 базы, руб.</t>
        </is>
      </c>
      <c r="B7" s="45" t="n">
        <v>190000000</v>
      </c>
    </row>
    <row r="8">
      <c r="A8" s="7" t="inlineStr">
        <is>
          <t>Фактор 3 базы, руб.</t>
        </is>
      </c>
      <c r="B8" s="45" t="n">
        <v>30000000</v>
      </c>
    </row>
    <row r="9">
      <c r="A9" s="7" t="inlineStr">
        <is>
          <t>Ставка процента T0</t>
        </is>
      </c>
      <c r="B9" s="41" t="n">
        <v>0.03</v>
      </c>
    </row>
    <row r="10">
      <c r="A10" s="7" t="inlineStr">
        <is>
          <t>Ставка процента T1</t>
        </is>
      </c>
      <c r="B10" s="41" t="n">
        <v>0.031</v>
      </c>
    </row>
    <row r="11">
      <c r="A11" s="7" t="inlineStr">
        <is>
          <t>Исходная численность, чел.</t>
        </is>
      </c>
      <c r="B11" s="45" t="n">
        <v>12</v>
      </c>
    </row>
    <row r="12">
      <c r="A12" s="7" t="inlineStr">
        <is>
          <t>Дополнительная численность из-за ПСД, чел.</t>
        </is>
      </c>
      <c r="B12" s="45" t="n">
        <v>2</v>
      </c>
    </row>
    <row r="13">
      <c r="A13" s="7" t="inlineStr">
        <is>
          <t>Исходный срок, мес.</t>
        </is>
      </c>
      <c r="B13" s="45" t="n">
        <v>36</v>
      </c>
    </row>
    <row r="14">
      <c r="A14" s="7" t="inlineStr">
        <is>
          <t>Срок T1, мес.</t>
        </is>
      </c>
      <c r="B14" s="45" t="n">
        <v>43</v>
      </c>
    </row>
    <row r="15">
      <c r="A15" s="7" t="inlineStr">
        <is>
          <t>Стоимость человека в месяц T0, руб.</t>
        </is>
      </c>
      <c r="B15" s="45" t="n">
        <v>350000</v>
      </c>
    </row>
    <row r="16">
      <c r="A16" s="7" t="inlineStr">
        <is>
          <t>Iex оплаты труда</t>
        </is>
      </c>
      <c r="B16" s="35" t="n">
        <v>1.12</v>
      </c>
    </row>
    <row r="17">
      <c r="A17" s="7" t="inlineStr">
        <is>
          <t>Фактическая стоимость человека в месяц T1, руб.</t>
        </is>
      </c>
      <c r="B17" s="45" t="n">
        <v>410000</v>
      </c>
    </row>
    <row r="19">
      <c r="A19" s="12" t="inlineStr">
        <is>
          <t>База T1</t>
        </is>
      </c>
      <c r="B19" s="21">
        <f>B5+B6+B7+B8</f>
        <v/>
      </c>
    </row>
    <row r="20">
      <c r="A20" s="12" t="inlineStr">
        <is>
          <t>Вознаграждение T0</t>
        </is>
      </c>
      <c r="B20" s="21">
        <f>B9*B5+B11*B13*B15</f>
        <v/>
      </c>
    </row>
    <row r="21">
      <c r="A21" s="12" t="inlineStr">
        <is>
          <t>Вознаграждение T1</t>
        </is>
      </c>
      <c r="B21" s="21">
        <f>B10*B19+(B11+B12)*B14*B17</f>
        <v/>
      </c>
    </row>
    <row r="22">
      <c r="A22" s="6" t="inlineStr">
        <is>
          <t>Отклонение</t>
        </is>
      </c>
      <c r="B22" s="37">
        <f>B21-B20</f>
        <v/>
      </c>
    </row>
    <row r="23">
      <c r="A23" s="12" t="inlineStr">
        <is>
          <t>Фактор 1</t>
        </is>
      </c>
      <c r="B23" s="21">
        <f>B9*B6+B11*B13*B15*(B16-1)</f>
        <v/>
      </c>
    </row>
    <row r="24">
      <c r="A24" s="12" t="inlineStr">
        <is>
          <t>Фактор 2</t>
        </is>
      </c>
      <c r="B24" s="21">
        <f>B9*B7+B12*B13*B15*B16</f>
        <v/>
      </c>
    </row>
    <row r="25">
      <c r="A25" s="12" t="inlineStr">
        <is>
          <t>Фактор 3</t>
        </is>
      </c>
      <c r="B25" s="21">
        <f>B22-B23-B24</f>
        <v/>
      </c>
    </row>
    <row r="26">
      <c r="A26" s="6" t="inlineStr">
        <is>
          <t>Контроль</t>
        </is>
      </c>
      <c r="B26" s="34">
        <f>B23+B24+B25-B22</f>
        <v/>
      </c>
    </row>
    <row r="28">
      <c r="A28" s="28" t="inlineStr">
        <is>
          <t>Учебный график процентов, млн руб. Процент начисляется на долг на начало квартала.</t>
        </is>
      </c>
    </row>
    <row r="29" ht="32" customHeight="1">
      <c r="A29" s="2" t="inlineStr">
        <is>
          <t>Сценарии BASE, INF и PSD идут по исходной ставке и исходному числу кварталов. ACT добавляет квартал и новую ставку. Это проверка логики, а не замена помесячной модели банка.</t>
        </is>
      </c>
    </row>
    <row r="31">
      <c r="A31" s="5" t="inlineStr">
        <is>
          <t>Показатель</t>
        </is>
      </c>
      <c r="B31" s="5" t="inlineStr">
        <is>
          <t>Квартал 1</t>
        </is>
      </c>
      <c r="C31" s="5" t="inlineStr">
        <is>
          <t>Квартал 2</t>
        </is>
      </c>
      <c r="D31" s="5" t="inlineStr">
        <is>
          <t>Квартал 3</t>
        </is>
      </c>
      <c r="E31" s="5" t="inlineStr">
        <is>
          <t>Квартал 4</t>
        </is>
      </c>
      <c r="F31" s="5" t="inlineStr">
        <is>
          <t>Квартал 5</t>
        </is>
      </c>
      <c r="G31" s="5" t="inlineStr">
        <is>
          <t>Итого</t>
        </is>
      </c>
    </row>
    <row r="32">
      <c r="A32" s="7" t="inlineStr">
        <is>
          <t>Выборка BASE</t>
        </is>
      </c>
      <c r="B32" s="46" t="n">
        <v>100</v>
      </c>
      <c r="C32" s="46" t="n">
        <v>100</v>
      </c>
      <c r="D32" s="46" t="n">
        <v>100</v>
      </c>
      <c r="E32" s="46" t="n">
        <v>100</v>
      </c>
      <c r="F32" s="46" t="n"/>
      <c r="G32" s="47">
        <f>SUM(B32:F32)</f>
        <v/>
      </c>
    </row>
    <row r="33">
      <c r="A33" s="7" t="inlineStr">
        <is>
          <t>Выборка INF</t>
        </is>
      </c>
      <c r="B33" s="46" t="n">
        <v>110</v>
      </c>
      <c r="C33" s="46" t="n">
        <v>110</v>
      </c>
      <c r="D33" s="46" t="n">
        <v>110</v>
      </c>
      <c r="E33" s="46" t="n">
        <v>110</v>
      </c>
      <c r="F33" s="46" t="n"/>
      <c r="G33" s="47">
        <f>SUM(B33:F33)</f>
        <v/>
      </c>
    </row>
    <row r="34">
      <c r="A34" s="7" t="inlineStr">
        <is>
          <t>Выборка PSD</t>
        </is>
      </c>
      <c r="B34" s="46" t="n">
        <v>110</v>
      </c>
      <c r="C34" s="46" t="n">
        <v>110</v>
      </c>
      <c r="D34" s="46" t="n">
        <v>150</v>
      </c>
      <c r="E34" s="46" t="n">
        <v>110</v>
      </c>
      <c r="F34" s="46" t="n"/>
      <c r="G34" s="47">
        <f>SUM(B34:F34)</f>
        <v/>
      </c>
    </row>
    <row r="35">
      <c r="A35" s="7" t="inlineStr">
        <is>
          <t>Выборка ACT</t>
        </is>
      </c>
      <c r="B35" s="46" t="n">
        <v>110</v>
      </c>
      <c r="C35" s="46" t="n">
        <v>110</v>
      </c>
      <c r="D35" s="46" t="n">
        <v>150</v>
      </c>
      <c r="E35" s="46" t="n">
        <v>110</v>
      </c>
      <c r="F35" s="46" t="n">
        <v>40</v>
      </c>
      <c r="G35" s="47">
        <f>SUM(B35:F35)</f>
        <v/>
      </c>
    </row>
    <row r="36">
      <c r="A36" s="7" t="inlineStr">
        <is>
          <t>Ставка за квартал BASE / INF / PSD</t>
        </is>
      </c>
      <c r="B36" s="41" t="n">
        <v>0.03</v>
      </c>
    </row>
    <row r="37">
      <c r="A37" s="7" t="inlineStr">
        <is>
          <t>Ставка за квартал ACT</t>
        </is>
      </c>
      <c r="B37" s="41" t="n">
        <v>0.035</v>
      </c>
    </row>
    <row r="39">
      <c r="A39" s="7" t="inlineStr">
        <is>
          <t>Долг на начало, BASE</t>
        </is>
      </c>
      <c r="B39" s="47" t="n">
        <v>0</v>
      </c>
      <c r="C39" s="47">
        <f>IF(C32="","",B39+B32)</f>
        <v/>
      </c>
      <c r="D39" s="47">
        <f>IF(D32="","",C39+C32)</f>
        <v/>
      </c>
      <c r="E39" s="47">
        <f>IF(E32="","",D39+D32)</f>
        <v/>
      </c>
      <c r="F39" s="47">
        <f>IF(F32="","",E39+E32)</f>
        <v/>
      </c>
    </row>
    <row r="40">
      <c r="A40" s="12" t="inlineStr">
        <is>
          <t>Проценты, BASE</t>
        </is>
      </c>
      <c r="B40" s="48">
        <f>IF(OR(B32="",B39=""),"",B39*$B$36)</f>
        <v/>
      </c>
      <c r="C40" s="48">
        <f>IF(OR(C32="",C39=""),"",C39*$B$36)</f>
        <v/>
      </c>
      <c r="D40" s="48">
        <f>IF(OR(D32="",D39=""),"",D39*$B$36)</f>
        <v/>
      </c>
      <c r="E40" s="48">
        <f>IF(OR(E32="",E39=""),"",E39*$B$36)</f>
        <v/>
      </c>
      <c r="F40" s="48">
        <f>IF(OR(F32="",F39=""),"",F39*$B$36)</f>
        <v/>
      </c>
      <c r="G40" s="49">
        <f>SUM(B40:F40)</f>
        <v/>
      </c>
    </row>
    <row r="41">
      <c r="A41" s="7" t="inlineStr">
        <is>
          <t>Долг на начало, INF</t>
        </is>
      </c>
      <c r="B41" s="47" t="n">
        <v>0</v>
      </c>
      <c r="C41" s="47">
        <f>IF(C33="","",B41+B33)</f>
        <v/>
      </c>
      <c r="D41" s="47">
        <f>IF(D33="","",C41+C33)</f>
        <v/>
      </c>
      <c r="E41" s="47">
        <f>IF(E33="","",D41+D33)</f>
        <v/>
      </c>
      <c r="F41" s="47">
        <f>IF(F33="","",E41+E33)</f>
        <v/>
      </c>
    </row>
    <row r="42">
      <c r="A42" s="12" t="inlineStr">
        <is>
          <t>Проценты, INF</t>
        </is>
      </c>
      <c r="B42" s="48">
        <f>IF(OR(B33="",B41=""),"",B41*$B$36)</f>
        <v/>
      </c>
      <c r="C42" s="48">
        <f>IF(OR(C33="",C41=""),"",C41*$B$36)</f>
        <v/>
      </c>
      <c r="D42" s="48">
        <f>IF(OR(D33="",D41=""),"",D41*$B$36)</f>
        <v/>
      </c>
      <c r="E42" s="48">
        <f>IF(OR(E33="",E41=""),"",E41*$B$36)</f>
        <v/>
      </c>
      <c r="F42" s="48">
        <f>IF(OR(F33="",F41=""),"",F41*$B$36)</f>
        <v/>
      </c>
      <c r="G42" s="49">
        <f>SUM(B42:F42)</f>
        <v/>
      </c>
    </row>
    <row r="43">
      <c r="A43" s="7" t="inlineStr">
        <is>
          <t>Долг на начало, PSD</t>
        </is>
      </c>
      <c r="B43" s="47" t="n">
        <v>0</v>
      </c>
      <c r="C43" s="47">
        <f>IF(C34="","",B43+B34)</f>
        <v/>
      </c>
      <c r="D43" s="47">
        <f>IF(D34="","",C43+C34)</f>
        <v/>
      </c>
      <c r="E43" s="47">
        <f>IF(E34="","",D43+D34)</f>
        <v/>
      </c>
      <c r="F43" s="47">
        <f>IF(F34="","",E43+E34)</f>
        <v/>
      </c>
    </row>
    <row r="44">
      <c r="A44" s="12" t="inlineStr">
        <is>
          <t>Проценты, PSD</t>
        </is>
      </c>
      <c r="B44" s="48">
        <f>IF(OR(B34="",B43=""),"",B43*$B$36)</f>
        <v/>
      </c>
      <c r="C44" s="48">
        <f>IF(OR(C34="",C43=""),"",C43*$B$36)</f>
        <v/>
      </c>
      <c r="D44" s="48">
        <f>IF(OR(D34="",D43=""),"",D43*$B$36)</f>
        <v/>
      </c>
      <c r="E44" s="48">
        <f>IF(OR(E34="",E43=""),"",E43*$B$36)</f>
        <v/>
      </c>
      <c r="F44" s="48">
        <f>IF(OR(F34="",F43=""),"",F43*$B$36)</f>
        <v/>
      </c>
      <c r="G44" s="49">
        <f>SUM(B44:F44)</f>
        <v/>
      </c>
    </row>
    <row r="45">
      <c r="A45" s="7" t="inlineStr">
        <is>
          <t>Долг на начало, ACT</t>
        </is>
      </c>
      <c r="B45" s="47" t="n">
        <v>0</v>
      </c>
      <c r="C45" s="47">
        <f>IF(C35="","",B45+B35)</f>
        <v/>
      </c>
      <c r="D45" s="47">
        <f>IF(D35="","",C45+C35)</f>
        <v/>
      </c>
      <c r="E45" s="47">
        <f>IF(E35="","",D45+D35)</f>
        <v/>
      </c>
      <c r="F45" s="47">
        <f>IF(F35="","",E45+E35)</f>
        <v/>
      </c>
    </row>
    <row r="46">
      <c r="A46" s="12" t="inlineStr">
        <is>
          <t>Проценты, ACT</t>
        </is>
      </c>
      <c r="B46" s="48">
        <f>IF(OR(B35="",B45=""),"",B45*$B$37)</f>
        <v/>
      </c>
      <c r="C46" s="48">
        <f>IF(OR(C35="",C45=""),"",C45*$B$37)</f>
        <v/>
      </c>
      <c r="D46" s="48">
        <f>IF(OR(D35="",D45=""),"",D45*$B$37)</f>
        <v/>
      </c>
      <c r="E46" s="48">
        <f>IF(OR(E35="",E45=""),"",E45*$B$37)</f>
        <v/>
      </c>
      <c r="F46" s="48">
        <f>IF(OR(F35="",F45=""),"",F45*$B$37)</f>
        <v/>
      </c>
      <c r="G46" s="49">
        <f>SUM(B46:F46)</f>
        <v/>
      </c>
    </row>
    <row r="48">
      <c r="A48" s="6" t="inlineStr">
        <is>
          <t>Фактор 1 процентов</t>
        </is>
      </c>
      <c r="B48" s="50">
        <f>G42-G40</f>
        <v/>
      </c>
      <c r="C48" s="2" t="inlineStr">
        <is>
          <t>млн руб.</t>
        </is>
      </c>
    </row>
    <row r="49">
      <c r="A49" s="6" t="inlineStr">
        <is>
          <t>Фактор 2 процентов</t>
        </is>
      </c>
      <c r="B49" s="50">
        <f>G44-G42</f>
        <v/>
      </c>
    </row>
    <row r="50">
      <c r="A50" s="6" t="inlineStr">
        <is>
          <t>Фактор 3 процентов</t>
        </is>
      </c>
      <c r="B50" s="50">
        <f>G46-G44</f>
        <v/>
      </c>
    </row>
    <row r="51">
      <c r="A51" s="39" t="inlineStr">
        <is>
          <t>Контроль процентов</t>
        </is>
      </c>
      <c r="B51" s="49">
        <f>B48+B49+B50-(G46-G40)</f>
        <v/>
      </c>
    </row>
  </sheetData>
  <mergeCells count="2">
    <mergeCell ref="A2:F2"/>
    <mergeCell ref="A29:G29"/>
  </mergeCells>
  <pageMargins left="0.75" right="0.75" top="1" bottom="1" header="0.5" footer="0.5"/>
  <pageSetup orientation="landscape" paperSize="9" fitToHeight="1" fitToWidth="1"/>
</worksheet>
</file>

<file path=xl/worksheets/sheet9.xml><?xml version="1.0" encoding="utf-8"?>
<worksheet xmlns="http://schemas.openxmlformats.org/spreadsheetml/2006/main">
  <sheetPr>
    <tabColor rgb="00C00000"/>
    <outlinePr summaryBelow="1" summaryRight="1"/>
    <pageSetUpPr fitToPage="1"/>
  </sheetPr>
  <dimension ref="A1:G15"/>
  <sheetViews>
    <sheetView showGridLines="0" workbookViewId="0">
      <pane ySplit="4" topLeftCell="A5" activePane="bottomLeft" state="frozen"/>
      <selection pane="bottomLeft" activeCell="A1" sqref="A1"/>
    </sheetView>
  </sheetViews>
  <sheetFormatPr baseColWidth="8" defaultRowHeight="15"/>
  <cols>
    <col width="55" customWidth="1" min="1" max="1"/>
    <col width="42" customWidth="1" min="2" max="2"/>
    <col width="48" customWidth="1" min="3" max="3"/>
    <col width="55" customWidth="1" min="4" max="4"/>
    <col width="16" customWidth="1" min="5" max="5"/>
    <col width="14" customWidth="1" min="6" max="6"/>
    <col width="14" customWidth="1" min="7" max="7"/>
  </cols>
  <sheetData>
    <row r="1">
      <c r="A1" s="1" t="inlineStr">
        <is>
          <t>Оценка риска дальнейшего роста бюджета до ввода</t>
        </is>
      </c>
    </row>
    <row r="2">
      <c r="A2" s="2" t="inlineStr">
        <is>
          <t>Шкала оценивает новое отклонение сверх откорректированного бюджета. Она не переразлагает уже учтенные факторы.</t>
        </is>
      </c>
    </row>
    <row r="4">
      <c r="A4" s="5" t="inlineStr">
        <is>
          <t>Признак</t>
        </is>
      </c>
      <c r="B4" s="5" t="inlineStr">
        <is>
          <t>0 баллов</t>
        </is>
      </c>
      <c r="C4" s="5" t="inlineStr">
        <is>
          <t>1 балл</t>
        </is>
      </c>
      <c r="D4" s="5" t="inlineStr">
        <is>
          <t>2 балла</t>
        </is>
      </c>
      <c r="E4" s="5" t="inlineStr">
        <is>
          <t>Балл строки</t>
        </is>
      </c>
      <c r="F4" s="5" t="inlineStr"/>
      <c r="G4" s="5" t="inlineStr"/>
    </row>
    <row r="5" ht="30" customHeight="1">
      <c r="A5" s="7" t="inlineStr">
        <is>
          <t>Доля строки без подписанного договора</t>
        </is>
      </c>
      <c r="B5" s="40" t="inlineStr">
        <is>
          <t>менее 15%</t>
        </is>
      </c>
      <c r="C5" s="51" t="inlineStr">
        <is>
          <t>от 15% до 40%</t>
        </is>
      </c>
      <c r="D5" s="52" t="inlineStr">
        <is>
          <t>более 40%</t>
        </is>
      </c>
      <c r="E5" s="53" t="n">
        <v>0</v>
      </c>
    </row>
    <row r="6" ht="30" customHeight="1">
      <c r="A6" s="7" t="inlineStr">
        <is>
          <t>Тип цены подписанного объема</t>
        </is>
      </c>
      <c r="B6" s="40" t="inlineStr">
        <is>
          <t>твердая цена без эскалации</t>
        </is>
      </c>
      <c r="C6" s="51" t="inlineStr">
        <is>
          <t>единичные расценки</t>
        </is>
      </c>
      <c r="D6" s="52" t="inlineStr">
        <is>
          <t>открытая цена или договор не подписан</t>
        </is>
      </c>
      <c r="E6" s="53" t="n">
        <v>0</v>
      </c>
    </row>
    <row r="7" ht="30" customHeight="1">
      <c r="A7" s="7" t="inlineStr">
        <is>
          <t>Зрелость рабочей документации</t>
        </is>
      </c>
      <c r="B7" s="40" t="inlineStr">
        <is>
          <t>заморожена не менее чем на 90%</t>
        </is>
      </c>
      <c r="C7" s="51" t="inlineStr">
        <is>
          <t>от 60% до 90%</t>
        </is>
      </c>
      <c r="D7" s="52" t="inlineStr">
        <is>
          <t>менее 60%</t>
        </is>
      </c>
      <c r="E7" s="53" t="n">
        <v>0</v>
      </c>
    </row>
    <row r="8" ht="30" customHeight="1">
      <c r="A8" s="7" t="inlineStr">
        <is>
          <t>Резерв против ожидаемой стоимости названных рисков</t>
        </is>
      </c>
      <c r="B8" s="40" t="inlineStr">
        <is>
          <t>резерв покрывает не менее 100%</t>
        </is>
      </c>
      <c r="C8" s="51" t="inlineStr">
        <is>
          <t>покрытие от 50% до 100%</t>
        </is>
      </c>
      <c r="D8" s="52" t="inlineStr">
        <is>
          <t>покрытие менее 50%</t>
        </is>
      </c>
      <c r="E8" s="53" t="n">
        <v>0</v>
      </c>
    </row>
    <row r="9" ht="30" customHeight="1">
      <c r="A9" s="7" t="inlineStr">
        <is>
          <t>Срок</t>
        </is>
      </c>
      <c r="B9" s="40" t="inlineStr">
        <is>
          <t>есть резерв времени</t>
        </is>
      </c>
      <c r="C9" s="51" t="inlineStr">
        <is>
          <t>резерв выбран или задержка меньше 3 месяцев</t>
        </is>
      </c>
      <c r="D9" s="52" t="inlineStr">
        <is>
          <t>задержка от 3 месяцев или вероятна претензия на срок</t>
        </is>
      </c>
      <c r="E9" s="53" t="n">
        <v>0</v>
      </c>
    </row>
    <row r="10" ht="30" customHeight="1">
      <c r="A10" s="7" t="inlineStr">
        <is>
          <t>Несогласованные изменения и претензии</t>
        </is>
      </c>
      <c r="B10" s="40" t="inlineStr">
        <is>
          <t>менее 1% строки</t>
        </is>
      </c>
      <c r="C10" s="51" t="inlineStr">
        <is>
          <t>от 1% до 3%</t>
        </is>
      </c>
      <c r="D10" s="52" t="inlineStr">
        <is>
          <t>более 3%</t>
        </is>
      </c>
      <c r="E10" s="53" t="n">
        <v>0</v>
      </c>
    </row>
    <row r="11">
      <c r="A11" s="6" t="inlineStr">
        <is>
          <t>Сумма баллов</t>
        </is>
      </c>
      <c r="E11" s="54">
        <f>SUM(E5:E10)</f>
        <v/>
      </c>
    </row>
    <row r="12" ht="36" customHeight="1">
      <c r="A12" s="55" t="inlineStr">
        <is>
          <t>Принудительное повышение: нет ТУ, отрицательная экспертиза, обременение или неизвестная плата за присоединение</t>
        </is>
      </c>
      <c r="B12" s="8" t="n"/>
      <c r="C12" s="8" t="n"/>
      <c r="D12" s="9" t="n"/>
      <c r="E12" s="53" t="n">
        <v>0</v>
      </c>
    </row>
    <row r="13">
      <c r="A13" s="6" t="inlineStr">
        <is>
          <t>Оценка</t>
        </is>
      </c>
      <c r="E13" s="56">
        <f>IF(E12&gt;=2,"Высокий",IF(AND(E12=1,E11&lt;=3),"Средний",IF(E11&lt;=3,"Низкий",IF(E11&lt;=7,"Средний","Высокий"))))</f>
        <v/>
      </c>
    </row>
    <row r="15" ht="36" customHeight="1">
      <c r="A15" s="17" t="inlineStr">
        <is>
          <t>0–3 балла — низкий риск, 4–7 — средний, 8–12 — высокий. Одно блокирующее обстоятельство поднимает оценку не ниже средней, два — до высокой. В комментарии указываются причина следующего удорожания, порядок величины и событие, которое снимет оценку.</t>
        </is>
      </c>
    </row>
  </sheetData>
  <mergeCells count="3">
    <mergeCell ref="A12:D12"/>
    <mergeCell ref="A2:G2"/>
    <mergeCell ref="A15:E15"/>
  </mergeCells>
  <dataValidations count="2">
    <dataValidation sqref="E5 E6 E7 E8 E9 E10" showDropDown="0" showInputMessage="0" showErrorMessage="0" allowBlank="0" type="list">
      <formula1>"0,1,2"</formula1>
    </dataValidation>
    <dataValidation sqref="E12" showDropDown="0" showInputMessage="0" showErrorMessage="0" allowBlank="0" type="list">
      <formula1>"0,1,2"</formula1>
    </dataValidation>
  </dataValidations>
  <pageMargins left="0.75" right="0.75" top="1" bottom="1" header="0.5" footer="0.5"/>
  <pageSetup orientation="landscape" paperSize="9" fitToHeight="1" fitToWidth="1"/>
</worksheet>
</file>

<file path=xl/worksheets/sheet10.xml><?xml version="1.0" encoding="utf-8"?>
<worksheet xmlns="http://schemas.openxmlformats.org/spreadsheetml/2006/main">
  <sheetPr>
    <tabColor rgb="001F4E79"/>
    <outlinePr summaryBelow="1" summaryRight="1"/>
    <pageSetUpPr fitToPage="1"/>
  </sheetPr>
  <dimension ref="A1:E54"/>
  <sheetViews>
    <sheetView showGridLines="0" workbookViewId="0">
      <pane ySplit="4" topLeftCell="A5" activePane="bottomLeft" state="frozen"/>
      <selection pane="bottomLeft" activeCell="A1" sqref="A1"/>
    </sheetView>
  </sheetViews>
  <sheetFormatPr baseColWidth="8" defaultRowHeight="15"/>
  <cols>
    <col width="22" customWidth="1" min="1" max="1"/>
    <col width="78" customWidth="1" min="2" max="2"/>
    <col width="32" customWidth="1" min="3" max="3"/>
    <col width="70" customWidth="1" min="4" max="4"/>
    <col width="55" customWidth="1" min="5" max="5"/>
  </cols>
  <sheetData>
    <row r="1">
      <c r="A1" s="1" t="inlineStr">
        <is>
          <t>Минимальный реестр документов для подтверждения факторов</t>
        </is>
      </c>
    </row>
    <row r="2">
      <c r="A2" s="2" t="inlineStr">
        <is>
          <t>Класс А не присваивается по объяснительной записке. Если документа из минимума нет, сумма не получает имя соответствующего фактора.</t>
        </is>
      </c>
    </row>
    <row r="4">
      <c r="A4" s="5" t="inlineStr">
        <is>
          <t>Группа</t>
        </is>
      </c>
      <c r="B4" s="5" t="inlineStr">
        <is>
          <t>Документ</t>
        </is>
      </c>
      <c r="C4" s="5" t="inlineStr">
        <is>
          <t>Какой фактор закрывает</t>
        </is>
      </c>
      <c r="D4" s="5" t="inlineStr">
        <is>
          <t>Что сверяется</t>
        </is>
      </c>
      <c r="E4" s="5" t="inlineStr">
        <is>
          <t>Если документа нет</t>
        </is>
      </c>
    </row>
    <row r="5" ht="36" customHeight="1">
      <c r="A5" s="6" t="inlineStr">
        <is>
          <t>Сквозные</t>
        </is>
      </c>
      <c r="B5" s="7" t="inlineStr">
        <is>
          <t>Протокол утверждения базового бюджета, модель и макродопущения T0</t>
        </is>
      </c>
      <c r="C5" s="23" t="inlineStr">
        <is>
          <t>Все</t>
        </is>
      </c>
      <c r="D5" s="7" t="inlineStr">
        <is>
          <t>Какой файл является базой и какие дефляторы утверждены</t>
        </is>
      </c>
      <c r="E5" s="55" t="inlineStr">
        <is>
          <t>База не идентифицирована, расчет не начинается</t>
        </is>
      </c>
    </row>
    <row r="6" ht="36" customHeight="1">
      <c r="A6" s="6" t="inlineStr">
        <is>
          <t>Сквозные</t>
        </is>
      </c>
      <c r="B6" s="7" t="inlineStr">
        <is>
          <t>Файл откорректированного бюджета T1 и пояснения застройщика</t>
        </is>
      </c>
      <c r="C6" s="23" t="inlineStr">
        <is>
          <t>Все</t>
        </is>
      </c>
      <c r="D6" s="7" t="inlineStr">
        <is>
          <t>От какой версии отстраивается анализ</t>
        </is>
      </c>
      <c r="E6" s="55" t="inlineStr">
        <is>
          <t>Нет предмета анализа</t>
        </is>
      </c>
    </row>
    <row r="7" ht="36" customHeight="1">
      <c r="A7" s="6" t="inlineStr">
        <is>
          <t>Сквозные</t>
        </is>
      </c>
      <c r="B7" s="7" t="inlineStr">
        <is>
          <t>Реестр промежуточных версий бюджета</t>
        </is>
      </c>
      <c r="C7" s="23" t="inlineStr">
        <is>
          <t>Все</t>
        </is>
      </c>
      <c r="D7" s="7" t="inlineStr">
        <is>
          <t>Что промежуточная версия не подменила T0</t>
        </is>
      </c>
      <c r="E7" s="55" t="inlineStr">
        <is>
          <t>Риск подмены базы раскрывается как оговорка</t>
        </is>
      </c>
    </row>
    <row r="8" ht="36" customHeight="1">
      <c r="A8" s="6" t="inlineStr">
        <is>
          <t>Сквозные</t>
        </is>
      </c>
      <c r="B8" s="7" t="inlineStr">
        <is>
          <t>Модели T0 и T1 с формулами</t>
        </is>
      </c>
      <c r="C8" s="57" t="inlineStr">
        <is>
          <t>F1, проценты</t>
        </is>
      </c>
      <c r="D8" s="7" t="inlineStr">
        <is>
          <t>Ряды дефляторов, график, ставка, НДС</t>
        </is>
      </c>
      <c r="E8" s="55" t="inlineStr">
        <is>
          <t>F1 не выше класса В</t>
        </is>
      </c>
    </row>
    <row r="9" ht="36" customHeight="1">
      <c r="A9" s="6" t="inlineStr">
        <is>
          <t>Сквозные</t>
        </is>
      </c>
      <c r="B9" s="7" t="inlineStr">
        <is>
          <t>Письма Минстроя, выгрузка ФГИС ЦС, публикация Росстата на кварталы периода</t>
        </is>
      </c>
      <c r="C9" s="57" t="inlineStr">
        <is>
          <t>F1</t>
        </is>
      </c>
      <c r="D9" s="7" t="inlineStr">
        <is>
          <t>Отношение индексов, а не индекс к базе 2001 года</t>
        </is>
      </c>
      <c r="E9" s="55" t="inlineStr">
        <is>
          <t>Называть сумму инфляцией нельзя</t>
        </is>
      </c>
    </row>
    <row r="10" ht="36" customHeight="1">
      <c r="A10" s="6" t="inlineStr">
        <is>
          <t>Сквозные</t>
        </is>
      </c>
      <c r="B10" s="7" t="inlineStr">
        <is>
          <t>Графики T0 и T1, критический путь, справка о причинах сдвига</t>
        </is>
      </c>
      <c r="C10" s="57" t="inlineStr">
        <is>
          <t>F1 против F3, реклассификация в F2</t>
        </is>
      </c>
      <c r="D10" s="7" t="inlineStr">
        <is>
          <t>Какие месяцы относятся к сроку, а не к индексу</t>
        </is>
      </c>
      <c r="E10" s="55" t="inlineStr">
        <is>
          <t>Сдвиг сроков остается неразделенным</t>
        </is>
      </c>
    </row>
    <row r="11" ht="36" customHeight="1">
      <c r="A11" s="6" t="inlineStr">
        <is>
          <t>Сквозные</t>
        </is>
      </c>
      <c r="B11" s="7" t="inlineStr">
        <is>
          <t>Поквартальный поток затрат без процентов и отдельно проценты</t>
        </is>
      </c>
      <c r="C11" s="57" t="inlineStr">
        <is>
          <t>F1, F3</t>
        </is>
      </c>
      <c r="D11" s="7" t="inlineStr">
        <is>
          <t>Веса кварталов и сценарии долга</t>
        </is>
      </c>
      <c r="E11" s="55" t="inlineStr">
        <is>
          <t>Допустим только средний индекс с оговоркой</t>
        </is>
      </c>
    </row>
    <row r="12" ht="36" customHeight="1">
      <c r="A12" s="6" t="inlineStr">
        <is>
          <t>Сквозные</t>
        </is>
      </c>
      <c r="B12" s="7" t="inlineStr">
        <is>
          <t>Учетная политика по НДС, капитализации процентов и претензиям</t>
        </is>
      </c>
      <c r="C12" s="55" t="inlineStr">
        <is>
          <t>F3</t>
        </is>
      </c>
      <c r="D12" s="7" t="inlineStr">
        <is>
          <t>Чтобы одна сумма не попала в два режима</t>
        </is>
      </c>
      <c r="E12" s="55" t="inlineStr">
        <is>
          <t>Оговорка о возможном двойном счете</t>
        </is>
      </c>
    </row>
    <row r="13" ht="36" customHeight="1">
      <c r="A13" s="6" t="inlineStr">
        <is>
          <t>Сквозные</t>
        </is>
      </c>
      <c r="B13" s="7" t="inlineStr">
        <is>
          <t>Справка о периметре: очереди, выбытия, затраты вне бюджета</t>
        </is>
      </c>
      <c r="C13" s="7" t="inlineStr">
        <is>
          <t>До факторов</t>
        </is>
      </c>
      <c r="D13" s="7" t="inlineStr">
        <is>
          <t>Сопоставимость итогов</t>
        </is>
      </c>
      <c r="E13" s="55" t="inlineStr">
        <is>
          <t>Факторы могут объяснять чужой объект</t>
        </is>
      </c>
    </row>
    <row r="14" ht="36" customHeight="1">
      <c r="A14" s="6" t="inlineStr">
        <is>
          <t>Сквозные</t>
        </is>
      </c>
      <c r="B14" s="7" t="inlineStr">
        <is>
          <t>Регистр фактических затрат на дату T1 против бюджета</t>
        </is>
      </c>
      <c r="C14" s="23" t="inlineStr">
        <is>
          <t>Все</t>
        </is>
      </c>
      <c r="D14" s="7" t="inlineStr">
        <is>
          <t>Связь бюджета с фактом</t>
        </is>
      </c>
      <c r="E14" s="55" t="inlineStr">
        <is>
          <t>Бюджет T1 может быть декларацией</t>
        </is>
      </c>
    </row>
    <row r="15" ht="36" customHeight="1">
      <c r="A15" s="6" t="inlineStr">
        <is>
          <t>Ориентировочный бюджет</t>
        </is>
      </c>
      <c r="B15" s="7" t="inlineStr">
        <is>
          <t>Модель T0 с формулой удельной ставки, составом включенных затрат, датой цен и дефлятором</t>
        </is>
      </c>
      <c r="C15" s="57" t="inlineStr">
        <is>
          <t>F1</t>
        </is>
      </c>
      <c r="D15" s="7" t="inlineStr">
        <is>
          <t>Ставка a0 и измеритель Q0, от которых считается инфляция</t>
        </is>
      </c>
      <c r="E15" s="55" t="inlineStr">
        <is>
          <t>Инфляцию начислять не на что</t>
        </is>
      </c>
    </row>
    <row r="16" ht="36" customHeight="1">
      <c r="A16" s="6" t="inlineStr">
        <is>
          <t>Ориентировочный бюджет</t>
        </is>
      </c>
      <c r="B16" s="7" t="inlineStr">
        <is>
          <t>Лист ТЭП и задание на проектирование редакции T0</t>
        </is>
      </c>
      <c r="C16" s="58" t="inlineStr">
        <is>
          <t>F2</t>
        </is>
      </c>
      <c r="D16" s="7" t="inlineStr">
        <is>
          <t>Паспорт программы, от которой считается отступление</t>
        </is>
      </c>
      <c r="E16" s="55" t="inlineStr">
        <is>
          <t>Первый обсчет нельзя отделить от изменения проекта</t>
        </is>
      </c>
    </row>
    <row r="17" ht="36" customHeight="1">
      <c r="A17" s="6" t="inlineStr">
        <is>
          <t>Ориентировочный бюджет</t>
        </is>
      </c>
      <c r="B17" s="7" t="inlineStr">
        <is>
          <t>Концепция или стадия П с пометкой, была ли она основанием бюджета</t>
        </is>
      </c>
      <c r="C17" s="58" t="inlineStr">
        <is>
          <t>F2 против F3d</t>
        </is>
      </c>
      <c r="D17" s="7" t="inlineStr">
        <is>
          <t>Названные решения отделены от решений, которых в основании не было</t>
        </is>
      </c>
      <c r="E17" s="55" t="inlineStr">
        <is>
          <t>Любая рабочая документация выглядит как изменение</t>
        </is>
      </c>
    </row>
    <row r="18" ht="36" customHeight="1">
      <c r="A18" s="6" t="inlineStr">
        <is>
          <t>Ориентировочный бюджет</t>
        </is>
      </c>
      <c r="B18" s="7" t="inlineStr">
        <is>
          <t>Расчет аналога с долями конструктива, фасада и инженерных систем</t>
        </is>
      </c>
      <c r="C18" s="7" t="inlineStr">
        <is>
          <t>U и F1</t>
        </is>
      </c>
      <c r="D18" s="7" t="inlineStr">
        <is>
          <t>Доля замененного решения и структура индекса, утвержденная до сметы T1</t>
        </is>
      </c>
      <c r="E18" s="55" t="inlineStr">
        <is>
          <t>Доля замены назначается произвольно, класс В</t>
        </is>
      </c>
    </row>
    <row r="19" ht="36" customHeight="1">
      <c r="A19" s="6" t="inlineStr">
        <is>
          <t>Ориентировочный бюджет</t>
        </is>
      </c>
      <c r="B19" s="7" t="inlineStr">
        <is>
          <t>Перечень исключений из удельной ставки и резерв на недопроектированность</t>
        </is>
      </c>
      <c r="C19" s="55" t="inlineStr">
        <is>
          <t>F3d</t>
        </is>
      </c>
      <c r="D19" s="7" t="inlineStr">
        <is>
          <t>Что ставка не обещала и какой резерв это покрывал</t>
        </is>
      </c>
      <c r="E19" s="55" t="inlineStr">
        <is>
          <t>Уточнение смешивается с пропуском периметра</t>
        </is>
      </c>
    </row>
    <row r="20" ht="36" customHeight="1">
      <c r="A20" s="6" t="inlineStr">
        <is>
          <t>Ориентировочный бюджет</t>
        </is>
      </c>
      <c r="B20" s="7" t="inlineStr">
        <is>
          <t>Рабочая документация и сметы T1 плюс таблица исключенных отступлений от паспорта</t>
        </is>
      </c>
      <c r="C20" s="7" t="inlineStr">
        <is>
          <t>S и F3d</t>
        </is>
      </c>
      <c r="D20" s="7" t="inlineStr">
        <is>
          <t>Стоимость той же программы в ценах T1</t>
        </is>
      </c>
      <c r="E20" s="55" t="inlineStr">
        <is>
          <t>F3d становится остатком без доказательства</t>
        </is>
      </c>
    </row>
    <row r="21" ht="36" customHeight="1">
      <c r="A21" s="6" t="inlineStr">
        <is>
          <t>СМР</t>
        </is>
      </c>
      <c r="B21" s="7" t="inlineStr">
        <is>
          <t>Договоры, дополнительные соглашения, протоколы цены и ведомости расценок</t>
        </is>
      </c>
      <c r="C21" s="57" t="inlineStr">
        <is>
          <t>F1, F3</t>
        </is>
      </c>
      <c r="D21" s="7" t="inlineStr">
        <is>
          <t>Исходная и новая цена, формула эскалации</t>
        </is>
      </c>
      <c r="E21" s="55" t="inlineStr">
        <is>
          <t>Нет класса А по цене</t>
        </is>
      </c>
    </row>
    <row r="22" ht="36" customHeight="1">
      <c r="A22" s="6" t="inlineStr">
        <is>
          <t>СМР</t>
        </is>
      </c>
      <c r="B22" s="7" t="inlineStr">
        <is>
          <t>Калькуляция расценки или ресурсная ведомость</t>
        </is>
      </c>
      <c r="C22" s="57" t="inlineStr">
        <is>
          <t>F1</t>
        </is>
      </c>
      <c r="D22" s="7" t="inlineStr">
        <is>
          <t>Веса материалов, машин и оплаты труда</t>
        </is>
      </c>
      <c r="E22" s="55" t="inlineStr">
        <is>
          <t>Индекс статьи становится среднеотраслевым, класс Б</t>
        </is>
      </c>
    </row>
    <row r="23" ht="36" customHeight="1">
      <c r="A23" s="6" t="inlineStr">
        <is>
          <t>СМР</t>
        </is>
      </c>
      <c r="B23" s="7" t="inlineStr">
        <is>
          <t>Локальные сметы и сводный сметный расчет с указанием базы и квартала цен</t>
        </is>
      </c>
      <c r="C23" s="57" t="inlineStr">
        <is>
          <t>F1</t>
        </is>
      </c>
      <c r="D23" s="7" t="inlineStr">
        <is>
          <t>К какой базе применяется отношение индексов</t>
        </is>
      </c>
      <c r="E23" s="55" t="inlineStr">
        <is>
          <t>Индекс легко применить не к той базе</t>
        </is>
      </c>
    </row>
    <row r="24" ht="36" customHeight="1">
      <c r="A24" s="6" t="inlineStr">
        <is>
          <t>СМР</t>
        </is>
      </c>
      <c r="B24" s="7" t="inlineStr">
        <is>
          <t>Расчет скользящей цены подрядчика и его первичные индексы</t>
        </is>
      </c>
      <c r="C24" s="57" t="inlineStr">
        <is>
          <t>F1 и F3</t>
        </is>
      </c>
      <c r="D24" s="7" t="inlineStr">
        <is>
          <t>Разница экономической инфляции и договорной эскалации</t>
        </is>
      </c>
      <c r="E24" s="55" t="inlineStr">
        <is>
          <t>Договорная эскалация может быть принята за дефлятор</t>
        </is>
      </c>
    </row>
    <row r="25" ht="36" customHeight="1">
      <c r="A25" s="6" t="inlineStr">
        <is>
          <t>СМР</t>
        </is>
      </c>
      <c r="B25" s="7" t="inlineStr">
        <is>
          <t>Счета и УПД на основные материалы, спецификации поставки</t>
        </is>
      </c>
      <c r="C25" s="57" t="inlineStr">
        <is>
          <t>F1</t>
        </is>
      </c>
      <c r="D25" s="7" t="inlineStr">
        <is>
          <t>Фактическая цена освоенного объема</t>
        </is>
      </c>
      <c r="E25" s="55" t="inlineStr">
        <is>
          <t>F1a не подтвержден</t>
        </is>
      </c>
    </row>
    <row r="26" ht="36" customHeight="1">
      <c r="A26" s="6" t="inlineStr">
        <is>
          <t>СМР</t>
        </is>
      </c>
      <c r="B26" s="7" t="inlineStr">
        <is>
          <t>Не менее двух сопоставимых предложений на незакупленный остаток</t>
        </is>
      </c>
      <c r="C26" s="57" t="inlineStr">
        <is>
          <t>F1b, pref</t>
        </is>
      </c>
      <c r="D26" s="7" t="inlineStr">
        <is>
          <t>Прогноз и рыночная цена нового решения</t>
        </is>
      </c>
      <c r="E26" s="55" t="inlineStr">
        <is>
          <t>Остаток получает класс В</t>
        </is>
      </c>
    </row>
    <row r="27" ht="36" customHeight="1">
      <c r="A27" s="6" t="inlineStr">
        <is>
          <t>СМР</t>
        </is>
      </c>
      <c r="B27" s="7" t="inlineStr">
        <is>
          <t>Проект и рабочая документация обеих ревизий, заключения экспертизы</t>
        </is>
      </c>
      <c r="C27" s="58" t="inlineStr">
        <is>
          <t>F2</t>
        </is>
      </c>
      <c r="D27" s="7" t="inlineStr">
        <is>
          <t>Что именно изменилось в решениях</t>
        </is>
      </c>
      <c r="E27" s="55" t="inlineStr">
        <is>
          <t>F2 не подтверждается</t>
        </is>
      </c>
    </row>
    <row r="28" ht="36" customHeight="1">
      <c r="A28" s="6" t="inlineStr">
        <is>
          <t>СМР</t>
        </is>
      </c>
      <c r="B28" s="7" t="inlineStr">
        <is>
          <t>Реестр измов с причиной и сопоставительная ведомость объемов</t>
        </is>
      </c>
      <c r="C28" s="58" t="inlineStr">
        <is>
          <t>F2</t>
        </is>
      </c>
      <c r="D28" s="7" t="inlineStr">
        <is>
          <t>Дельта количества со ссылкой на лист</t>
        </is>
      </c>
      <c r="E28" s="55" t="inlineStr">
        <is>
          <t>Объемное отклонение остается классом В</t>
        </is>
      </c>
    </row>
    <row r="29" ht="36" customHeight="1">
      <c r="A29" s="6" t="inlineStr">
        <is>
          <t>СМР</t>
        </is>
      </c>
      <c r="B29" s="7" t="inlineStr">
        <is>
          <t>Спецификации оборудования и ведомости отделки обеих ревизий</t>
        </is>
      </c>
      <c r="C29" s="58" t="inlineStr">
        <is>
          <t>F2</t>
        </is>
      </c>
      <c r="D29" s="7" t="inlineStr">
        <is>
          <t>Смена класса внутри того же шифра работы</t>
        </is>
      </c>
      <c r="E29" s="55" t="inlineStr">
        <is>
          <t>Смена класса смешивается с инфляцией</t>
        </is>
      </c>
    </row>
    <row r="30" ht="36" customHeight="1">
      <c r="A30" s="6" t="inlineStr">
        <is>
          <t>СМР</t>
        </is>
      </c>
      <c r="B30" s="7" t="inlineStr">
        <is>
          <t>Технические условия и расчет платы за присоединение обеих редакций</t>
        </is>
      </c>
      <c r="C30" s="57" t="inlineStr">
        <is>
          <t>F1, F2, F3</t>
        </is>
      </c>
      <c r="D30" s="7" t="inlineStr">
        <is>
          <t>Мощность, тариф и навязанная трасса по отдельности</t>
        </is>
      </c>
      <c r="E30" s="55" t="inlineStr">
        <is>
          <t>Сети не раскладываются</t>
        </is>
      </c>
    </row>
    <row r="31" ht="36" customHeight="1">
      <c r="A31" s="6" t="inlineStr">
        <is>
          <t>СМР</t>
        </is>
      </c>
      <c r="B31" s="7" t="inlineStr">
        <is>
          <t>Акты выполненных работ, справки о стоимости, накопительные ведомости, исполнительные схемы</t>
        </is>
      </c>
      <c r="C31" s="23" t="inlineStr">
        <is>
          <t>Все по закрытому объему</t>
        </is>
      </c>
      <c r="D31" s="7" t="inlineStr">
        <is>
          <t>Факт объема и цены</t>
        </is>
      </c>
      <c r="E31" s="55" t="inlineStr">
        <is>
          <t>Закрытый объем не отделен от прогноза</t>
        </is>
      </c>
    </row>
    <row r="32" ht="36" customHeight="1">
      <c r="A32" s="6" t="inlineStr">
        <is>
          <t>СМР</t>
        </is>
      </c>
      <c r="B32" s="7" t="inlineStr">
        <is>
          <t>Журнал работ, акты простоя, подтверждение форс-мажора, реестр претензий</t>
        </is>
      </c>
      <c r="C32" s="55" t="inlineStr">
        <is>
          <t>F3</t>
        </is>
      </c>
      <c r="D32" s="7" t="inlineStr">
        <is>
          <t>Иные причины по существу, а не остатком</t>
        </is>
      </c>
      <c r="E32" s="55" t="inlineStr">
        <is>
          <t>Остаток F3 ограничивается классом В</t>
        </is>
      </c>
    </row>
    <row r="33" ht="36" customHeight="1">
      <c r="A33" s="6" t="inlineStr">
        <is>
          <t>СМР</t>
        </is>
      </c>
      <c r="B33" s="7" t="inlineStr">
        <is>
          <t>Реестр давальческих материалов заказчика</t>
        </is>
      </c>
      <c r="C33" s="7" t="inlineStr">
        <is>
          <t>Запрет двойного счета</t>
        </is>
      </c>
      <c r="D33" s="7" t="inlineStr">
        <is>
          <t>Материал не сидит и у заказчика, и у подрядчика</t>
        </is>
      </c>
      <c r="E33" s="55" t="inlineStr">
        <is>
          <t>Риск двойного счета в заключении</t>
        </is>
      </c>
    </row>
    <row r="34" ht="36" customHeight="1">
      <c r="A34" s="6" t="inlineStr">
        <is>
          <t>СМР, вариант Б</t>
        </is>
      </c>
      <c r="B34" s="7" t="inlineStr">
        <is>
          <t>Тендерная расшифровка твердой цены, допущения и протокол конкурса</t>
        </is>
      </c>
      <c r="C34" s="57" t="inlineStr">
        <is>
          <t>F1, F3</t>
        </is>
      </c>
      <c r="D34" s="7" t="inlineStr">
        <is>
          <t>Структура твердой цены и коммерческий результат</t>
        </is>
      </c>
      <c r="E34" s="55" t="inlineStr">
        <is>
          <t>Остается параметрический мост класса Б или В</t>
        </is>
      </c>
    </row>
    <row r="35" ht="36" customHeight="1">
      <c r="A35" s="6" t="inlineStr">
        <is>
          <t>СМР, вариант В</t>
        </is>
      </c>
      <c r="B35" s="7" t="inlineStr">
        <is>
          <t>Реестр пакетов, матрица разграничения, схема временных зданий</t>
        </is>
      </c>
      <c r="C35" s="7" t="inlineStr">
        <is>
          <t>Запрет двойного счета</t>
        </is>
      </c>
      <c r="D35" s="7" t="inlineStr">
        <is>
          <t>Сумма пакетов равна статьям СМР, стыки не задвоены</t>
        </is>
      </c>
      <c r="E35" s="55" t="inlineStr">
        <is>
          <t>Невязка блокирует вывод по статье</t>
        </is>
      </c>
    </row>
    <row r="36" ht="36" customHeight="1">
      <c r="A36" s="6" t="inlineStr">
        <is>
          <t>ПИР</t>
        </is>
      </c>
      <c r="B36" s="7" t="inlineStr">
        <is>
          <t>Договоры на изыскания, стадии П и Р, авторский надзор</t>
        </is>
      </c>
      <c r="C36" s="57" t="inlineStr">
        <is>
          <t>F1, F2, F3</t>
        </is>
      </c>
      <c r="D36" s="7" t="inlineStr">
        <is>
          <t>Цена этапа и предмет</t>
        </is>
      </c>
      <c r="E36" s="55" t="inlineStr">
        <is>
          <t>Нет базы для ставки</t>
        </is>
      </c>
    </row>
    <row r="37" ht="36" customHeight="1">
      <c r="A37" s="6" t="inlineStr">
        <is>
          <t>ПИР</t>
        </is>
      </c>
      <c r="B37" s="7" t="inlineStr">
        <is>
          <t>Оба задания на проектирование</t>
        </is>
      </c>
      <c r="C37" s="58" t="inlineStr">
        <is>
          <t>F2</t>
        </is>
      </c>
      <c r="D37" s="7" t="inlineStr">
        <is>
          <t>Какие разделы добавлены</t>
        </is>
      </c>
      <c r="E37" s="55" t="inlineStr">
        <is>
          <t>Переработка не отличима от инфляции ставок</t>
        </is>
      </c>
    </row>
    <row r="38" ht="36" customHeight="1">
      <c r="A38" s="6" t="inlineStr">
        <is>
          <t>ПИР</t>
        </is>
      </c>
      <c r="B38" s="7" t="inlineStr">
        <is>
          <t>Акты сдачи комплектов и программа дополнительных изысканий</t>
        </is>
      </c>
      <c r="C38" s="58" t="inlineStr">
        <is>
          <t>F2</t>
        </is>
      </c>
      <c r="D38" s="7" t="inlineStr">
        <is>
          <t>Связь допизысканий с новым решением</t>
        </is>
      </c>
      <c r="E38" s="55" t="inlineStr">
        <is>
          <t>Допизыскания остаются в F3</t>
        </is>
      </c>
    </row>
    <row r="39" ht="36" customHeight="1">
      <c r="A39" s="6" t="inlineStr">
        <is>
          <t>ПИР</t>
        </is>
      </c>
      <c r="B39" s="7" t="inlineStr">
        <is>
          <t>Ведомость переработанных разделов с причиной</t>
        </is>
      </c>
      <c r="C39" s="58" t="inlineStr">
        <is>
          <t>F2 против F3</t>
        </is>
      </c>
      <c r="D39" s="7" t="inlineStr">
        <is>
          <t>Смена ТЭП отделена от ошибки проектировщика</t>
        </is>
      </c>
      <c r="E39" s="55" t="inlineStr">
        <is>
          <t>Вся переработка падает в один фактор</t>
        </is>
      </c>
    </row>
    <row r="40" ht="36" customHeight="1">
      <c r="A40" s="6" t="inlineStr">
        <is>
          <t>ПИР</t>
        </is>
      </c>
      <c r="B40" s="7" t="inlineStr">
        <is>
          <t>График выпуска рабочей документации и журнал авторского надзора</t>
        </is>
      </c>
      <c r="C40" s="58" t="inlineStr">
        <is>
          <t>F2, F3</t>
        </is>
      </c>
      <c r="D40" s="7" t="inlineStr">
        <is>
          <t>Выезд привязан к разделу или к лишнему месяцу</t>
        </is>
      </c>
      <c r="E40" s="55" t="inlineStr">
        <is>
          <t>Пролонгация надзора не доказывается</t>
        </is>
      </c>
    </row>
    <row r="41" ht="36" customHeight="1">
      <c r="A41" s="6" t="inlineStr">
        <is>
          <t>ПИР</t>
        </is>
      </c>
      <c r="B41" s="7" t="inlineStr">
        <is>
          <t>Платежные документы экспертизы с составом поданной документации</t>
        </is>
      </c>
      <c r="C41" s="58" t="inlineStr">
        <is>
          <t>F2, F1</t>
        </is>
      </c>
      <c r="D41" s="7" t="inlineStr">
        <is>
          <t>Повторная экспертиза против тарифного индекса</t>
        </is>
      </c>
      <c r="E41" s="55" t="inlineStr">
        <is>
          <t>Экспертиза не раскладывается</t>
        </is>
      </c>
    </row>
    <row r="42" ht="36" customHeight="1">
      <c r="A42" s="6" t="inlineStr">
        <is>
          <t>Управление</t>
        </is>
      </c>
      <c r="B42" s="7" t="inlineStr">
        <is>
          <t>Договоры заказчика, генподряда, управления, стройконтроля и охраны</t>
        </is>
      </c>
      <c r="C42" s="57" t="inlineStr">
        <is>
          <t>F1, F2, F3</t>
        </is>
      </c>
      <c r="D42" s="7" t="inlineStr">
        <is>
          <t>Процент, база процента и возмещаемые затраты</t>
        </is>
      </c>
      <c r="E42" s="55" t="inlineStr">
        <is>
          <t>Процент может задвоить ФОТ</t>
        </is>
      </c>
    </row>
    <row r="43" ht="36" customHeight="1">
      <c r="A43" s="6" t="inlineStr">
        <is>
          <t>Управление</t>
        </is>
      </c>
      <c r="B43" s="7" t="inlineStr">
        <is>
          <t>Калькуляция базы процента генподряда</t>
        </is>
      </c>
      <c r="C43" s="7" t="inlineStr">
        <is>
          <t>Наследование факторов</t>
        </is>
      </c>
      <c r="D43" s="7" t="inlineStr">
        <is>
          <t>В базу не входят затраты, возмещаемые отдельно</t>
        </is>
      </c>
      <c r="E43" s="55" t="inlineStr">
        <is>
          <t>Двойной счет управления</t>
        </is>
      </c>
    </row>
    <row r="44" ht="36" customHeight="1">
      <c r="A44" s="6" t="inlineStr">
        <is>
          <t>Управление</t>
        </is>
      </c>
      <c r="B44" s="7" t="inlineStr">
        <is>
          <t>Штатное расписание и помесячная стоимость команды без персональных данных в отчете</t>
        </is>
      </c>
      <c r="C44" s="57" t="inlineStr">
        <is>
          <t>F1, F3</t>
        </is>
      </c>
      <c r="D44" s="7" t="inlineStr">
        <is>
          <t>Индексация исходных месяцев и лишние месяцы</t>
        </is>
      </c>
      <c r="E44" s="55" t="inlineStr">
        <is>
          <t>Рост содержания не раскладывается</t>
        </is>
      </c>
    </row>
    <row r="45" ht="36" customHeight="1">
      <c r="A45" s="6" t="inlineStr">
        <is>
          <t>Управление</t>
        </is>
      </c>
      <c r="B45" s="7" t="inlineStr">
        <is>
          <t>Приказы об изменении численности с указанием функции</t>
        </is>
      </c>
      <c r="C45" s="58" t="inlineStr">
        <is>
          <t>F2 против F3</t>
        </is>
      </c>
      <c r="D45" s="7" t="inlineStr">
        <is>
          <t>Новые разделы проекта против удержания срока</t>
        </is>
      </c>
      <c r="E45" s="55" t="inlineStr">
        <is>
          <t>Прирост людей остается в F3</t>
        </is>
      </c>
    </row>
    <row r="46" ht="36" customHeight="1">
      <c r="A46" s="6" t="inlineStr">
        <is>
          <t>Управление</t>
        </is>
      </c>
      <c r="B46" s="7" t="inlineStr">
        <is>
          <t>Счета общеплощадочных расходов по месяцам</t>
        </is>
      </c>
      <c r="C46" s="55" t="inlineStr">
        <is>
          <t>F3</t>
        </is>
      </c>
      <c r="D46" s="7" t="inlineStr">
        <is>
          <t>Месяц затраты совпадает с месяцем пролонгации</t>
        </is>
      </c>
      <c r="E46" s="55" t="inlineStr">
        <is>
          <t>Справка о проценте роста недостаточна</t>
        </is>
      </c>
    </row>
    <row r="47" ht="36" customHeight="1">
      <c r="A47" s="6" t="inlineStr">
        <is>
          <t>Коммерция</t>
        </is>
      </c>
      <c r="B47" s="7" t="inlineStr">
        <is>
          <t>Маркетинговые бюджеты, медиаплан и договоры размещений</t>
        </is>
      </c>
      <c r="C47" s="57" t="inlineStr">
        <is>
          <t>F1, F3</t>
        </is>
      </c>
      <c r="D47" s="7" t="inlineStr">
        <is>
          <t>Цена исходного размещения и новые каналы</t>
        </is>
      </c>
      <c r="E47" s="55" t="inlineStr">
        <is>
          <t>Медиаинфляция не подтверждена</t>
        </is>
      </c>
    </row>
    <row r="48" ht="36" customHeight="1">
      <c r="A48" s="6" t="inlineStr">
        <is>
          <t>Коммерция</t>
        </is>
      </c>
      <c r="B48" s="7" t="inlineStr">
        <is>
          <t>Договоры брокеров и отчет о продажах: площадь, цена, канал</t>
        </is>
      </c>
      <c r="C48" s="58" t="inlineStr">
        <is>
          <t>F2, F3</t>
        </is>
      </c>
      <c r="D48" s="7" t="inlineStr">
        <is>
          <t>Площадь из-за ТЭП отделена от цены прайса и ставки</t>
        </is>
      </c>
      <c r="E48" s="55" t="inlineStr">
        <is>
          <t>Комиссия не раскладывается</t>
        </is>
      </c>
    </row>
    <row r="49" ht="36" customHeight="1">
      <c r="A49" s="6" t="inlineStr">
        <is>
          <t>Коммерция</t>
        </is>
      </c>
      <c r="B49" s="7" t="inlineStr">
        <is>
          <t>Смета шоурума с указанием статьи, где сидит стройка</t>
        </is>
      </c>
      <c r="C49" s="7" t="inlineStr">
        <is>
          <t>Запрет двойного счета</t>
        </is>
      </c>
      <c r="D49" s="7" t="inlineStr">
        <is>
          <t>Отделка не включена и в СМР, и в коммерцию</t>
        </is>
      </c>
      <c r="E49" s="55" t="inlineStr">
        <is>
          <t>Двойной счет шоурума</t>
        </is>
      </c>
    </row>
    <row r="50" ht="36" customHeight="1">
      <c r="A50" s="6" t="inlineStr">
        <is>
          <t>Финансы</t>
        </is>
      </c>
      <c r="B50" s="7" t="inlineStr">
        <is>
          <t>Кредитный договор, соглашения о ставке и сроке, модель банка T0 и T1</t>
        </is>
      </c>
      <c r="C50" s="57" t="inlineStr">
        <is>
          <t>F1, F2, F3</t>
        </is>
      </c>
      <c r="D50" s="7" t="inlineStr">
        <is>
          <t>Сценарии тела, ставки и срока</t>
        </is>
      </c>
      <c r="E50" s="55" t="inlineStr">
        <is>
          <t>Проценты нельзя наследовать от капитальных затрат reliable</t>
        </is>
      </c>
    </row>
    <row r="51" ht="36" customHeight="1">
      <c r="A51" s="6" t="inlineStr">
        <is>
          <t>Финансы</t>
        </is>
      </c>
      <c r="B51" s="7" t="inlineStr">
        <is>
          <t>Регистр начисленных и капитализированных процентов</t>
        </is>
      </c>
      <c r="C51" s="7" t="inlineStr">
        <is>
          <t>Запрет двойного счета</t>
        </is>
      </c>
      <c r="D51" s="7" t="inlineStr">
        <is>
          <t>Проценты не капитализированы второй раз внутри СМР</t>
        </is>
      </c>
      <c r="E51" s="55" t="inlineStr">
        <is>
          <t>Риск двойной капитализации</t>
        </is>
      </c>
    </row>
    <row r="52" ht="36" customHeight="1">
      <c r="A52" s="6" t="inlineStr">
        <is>
          <t>Финансы</t>
        </is>
      </c>
      <c r="B52" s="7" t="inlineStr">
        <is>
          <t>Полисы и расчеты премий</t>
        </is>
      </c>
      <c r="C52" s="57" t="inlineStr">
        <is>
          <t>F1, F2, F3</t>
        </is>
      </c>
      <c r="D52" s="7" t="inlineStr">
        <is>
          <t>Тариф, страховая сумма и срок полиса</t>
        </is>
      </c>
      <c r="E52" s="55" t="inlineStr">
        <is>
          <t>Страхование остается котловой суммой</t>
        </is>
      </c>
    </row>
    <row r="53" ht="36" customHeight="1">
      <c r="A53" s="6" t="inlineStr">
        <is>
          <t>Финансы</t>
        </is>
      </c>
      <c r="B53" s="7" t="inlineStr">
        <is>
          <t>Положение о резерве и регистр использования каждого существенного транша</t>
        </is>
      </c>
      <c r="C53" s="55" t="inlineStr">
        <is>
          <t>F3 и перенос в статьи</t>
        </is>
      </c>
      <c r="D53" s="7" t="inlineStr">
        <is>
          <t>Куда ушел резерв и не снят ли он второй раз</t>
        </is>
      </c>
      <c r="E53" s="55" t="inlineStr">
        <is>
          <t>Отрицательный резерв можно принять за экономию</t>
        </is>
      </c>
    </row>
    <row r="54" ht="36" customHeight="1">
      <c r="A54" s="6" t="inlineStr">
        <is>
          <t>Финансы</t>
        </is>
      </c>
      <c r="B54" s="7" t="inlineStr">
        <is>
          <t>Договоры гарантий и расчет земельных платежей периода строительства</t>
        </is>
      </c>
      <c r="C54" s="55" t="inlineStr">
        <is>
          <t>F3</t>
        </is>
      </c>
      <c r="D54" s="7" t="inlineStr">
        <is>
          <t>Пролонгация и новые обязательные платежи</t>
        </is>
      </c>
      <c r="E54" s="55" t="inlineStr">
        <is>
          <t>Строка 06.04 не раскрыта</t>
        </is>
      </c>
    </row>
  </sheetData>
  <autoFilter ref="A4:E54"/>
  <mergeCells count="1">
    <mergeCell ref="A2:E2"/>
  </mergeCells>
  <pageMargins left="0.75" right="0.75" top="1" bottom="1" header="0.5" footer="0.5"/>
  <pageSetup orientation="landscape" paperSize="8" fitToHeight="0" fitToWidth="1"/>
</worksheet>
</file>

<file path=xl/worksheets/sheet11.xml><?xml version="1.0" encoding="utf-8"?>
<worksheet xmlns="http://schemas.openxmlformats.org/spreadsheetml/2006/main">
  <sheetPr>
    <tabColor rgb="00548235"/>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62" customWidth="1" min="1" max="1"/>
    <col width="28" customWidth="1" min="2" max="2"/>
    <col width="28" customWidth="1" min="3" max="3"/>
    <col width="16" customWidth="1" min="4" max="4"/>
  </cols>
  <sheetData>
    <row r="1">
      <c r="A1" s="1" t="inlineStr">
        <is>
          <t>Контроль условного примера</t>
        </is>
      </c>
    </row>
    <row r="2">
      <c r="A2" s="2" t="inlineStr">
        <is>
          <t>Все значения подтянуты формулами с листа «Условный пример». Нулевой контроль — условие выпуска таблицы.</t>
        </is>
      </c>
    </row>
    <row r="4">
      <c r="A4" s="5" t="inlineStr">
        <is>
          <t>Проверка</t>
        </is>
      </c>
      <c r="B4" s="5" t="inlineStr">
        <is>
          <t>Значение</t>
        </is>
      </c>
      <c r="C4" s="5" t="inlineStr">
        <is>
          <t>Ожидание</t>
        </is>
      </c>
      <c r="D4" s="59" t="inlineStr">
        <is>
          <t>Сошлось</t>
        </is>
      </c>
    </row>
    <row r="5">
      <c r="A5" s="7" t="inlineStr">
        <is>
          <t>Базовый бюджет, руб.</t>
        </is>
      </c>
      <c r="B5" s="37">
        <f>'Условный пример'!C51</f>
        <v/>
      </c>
      <c r="C5" s="60" t="n">
        <v>8000000000</v>
      </c>
      <c r="D5" s="61">
        <f>ABS(B5-C5)&lt;0.001</f>
        <v/>
      </c>
    </row>
    <row r="6">
      <c r="A6" s="7" t="inlineStr">
        <is>
          <t>Откорректированный бюджет, руб.</t>
        </is>
      </c>
      <c r="B6" s="37">
        <f>'Условный пример'!D51</f>
        <v/>
      </c>
      <c r="C6" s="60" t="n">
        <v>9200000000</v>
      </c>
      <c r="D6" s="61">
        <f>ABS(B6-C6)&lt;0.001</f>
        <v/>
      </c>
    </row>
    <row r="7">
      <c r="A7" s="7" t="inlineStr">
        <is>
          <t>Отклонение, руб.</t>
        </is>
      </c>
      <c r="B7" s="37">
        <f>'Условный пример'!E51</f>
        <v/>
      </c>
      <c r="C7" s="60" t="n">
        <v>1200000000</v>
      </c>
      <c r="D7" s="61">
        <f>ABS(B7-C7)&lt;0.001</f>
        <v/>
      </c>
    </row>
    <row r="8">
      <c r="A8" s="7" t="inlineStr">
        <is>
          <t>Фактор 1, руб.</t>
        </is>
      </c>
      <c r="B8" s="37">
        <f>'Условный пример'!G51</f>
        <v/>
      </c>
      <c r="C8" s="60" t="n">
        <v>550000000</v>
      </c>
      <c r="D8" s="61">
        <f>ABS(B8-C8)&lt;0.001</f>
        <v/>
      </c>
    </row>
    <row r="9">
      <c r="A9" s="7" t="inlineStr">
        <is>
          <t>Фактор 2, руб.</t>
        </is>
      </c>
      <c r="B9" s="37">
        <f>'Условный пример'!H51</f>
        <v/>
      </c>
      <c r="C9" s="60" t="n">
        <v>458000000</v>
      </c>
      <c r="D9" s="61">
        <f>ABS(B9-C9)&lt;0.001</f>
        <v/>
      </c>
    </row>
    <row r="10">
      <c r="A10" s="7" t="inlineStr">
        <is>
          <t>Фактор 3, руб.</t>
        </is>
      </c>
      <c r="B10" s="37">
        <f>'Условный пример'!I51</f>
        <v/>
      </c>
      <c r="C10" s="60" t="n">
        <v>192000000</v>
      </c>
      <c r="D10" s="61">
        <f>ABS(B10-C10)&lt;0.001</f>
        <v/>
      </c>
    </row>
    <row r="11">
      <c r="A11" s="7" t="inlineStr">
        <is>
          <t>Контроль тождества, руб.</t>
        </is>
      </c>
      <c r="B11" s="37">
        <f>'Условный пример'!J51</f>
        <v/>
      </c>
      <c r="C11" s="60" t="n">
        <v>0</v>
      </c>
      <c r="D11" s="61">
        <f>ABS(B11-C11)&lt;0.001</f>
        <v/>
      </c>
    </row>
    <row r="12">
      <c r="A12" s="7" t="inlineStr">
        <is>
          <t>Отклонение к базе</t>
        </is>
      </c>
      <c r="B12" s="62">
        <f>B7/B5</f>
        <v/>
      </c>
      <c r="C12" s="63" t="n">
        <v>0.15</v>
      </c>
      <c r="D12" s="61">
        <f>ABS(B12-C12)&lt;0.001</f>
        <v/>
      </c>
    </row>
    <row r="13">
      <c r="A13" s="7" t="inlineStr">
        <is>
          <t>Доля инфляции в приросте</t>
        </is>
      </c>
      <c r="B13" s="62">
        <f>B8/B7</f>
        <v/>
      </c>
      <c r="C13" s="63" t="n">
        <v>0.4583333333333333</v>
      </c>
      <c r="D13" s="61">
        <f>ABS(B13-C13)&lt;0.001</f>
        <v/>
      </c>
    </row>
    <row r="14">
      <c r="A14" s="7" t="inlineStr">
        <is>
          <t>Доля ПСД в приросте</t>
        </is>
      </c>
      <c r="B14" s="62">
        <f>B9/B7</f>
        <v/>
      </c>
      <c r="C14" s="63" t="n">
        <v>0.3816666666666667</v>
      </c>
      <c r="D14" s="61">
        <f>ABS(B14-C14)&lt;0.001</f>
        <v/>
      </c>
    </row>
    <row r="15">
      <c r="A15" s="7" t="inlineStr">
        <is>
          <t>Доля иных причин в приросте</t>
        </is>
      </c>
      <c r="B15" s="62">
        <f>B10/B7</f>
        <v/>
      </c>
      <c r="C15" s="63" t="n">
        <v>0.16</v>
      </c>
      <c r="D15" s="61">
        <f>ABS(B15-C15)&lt;0.001</f>
        <v/>
      </c>
    </row>
    <row r="17">
      <c r="A17" s="7" t="inlineStr">
        <is>
          <t>Позиция монолита, контроль калькулятора, руб.</t>
        </is>
      </c>
      <c r="B17" s="50">
        <f>'Калькулятор позиции'!B18</f>
        <v/>
      </c>
    </row>
    <row r="18">
      <c r="A18" s="7" t="inlineStr">
        <is>
          <t>Замена фасада, контроль калькулятора, руб.</t>
        </is>
      </c>
      <c r="B18" s="50">
        <f>'Калькулятор позиции'!B35</f>
        <v/>
      </c>
    </row>
    <row r="19">
      <c r="A19" s="7" t="inlineStr">
        <is>
          <t>Контроль производного вознаграждения, руб.</t>
        </is>
      </c>
      <c r="B19" s="50">
        <f>'Производные затраты'!B26</f>
        <v/>
      </c>
    </row>
    <row r="20">
      <c r="A20" s="7" t="inlineStr">
        <is>
          <t>Контроль учебного графика процентов, млн руб.</t>
        </is>
      </c>
      <c r="B20" s="50">
        <f>'Производные затраты'!B51</f>
        <v/>
      </c>
    </row>
    <row r="21">
      <c r="A21" s="7" t="inlineStr">
        <is>
          <t>Контроль ориентировочного бюджета, руб.</t>
        </is>
      </c>
      <c r="B21" s="50">
        <f>'Ориентировочный бюджет'!B28</f>
        <v/>
      </c>
    </row>
    <row r="22">
      <c r="A22" s="7" t="inlineStr">
        <is>
          <t>Контроль состава ориентировочного бюджета, руб.</t>
        </is>
      </c>
      <c r="B22" s="50">
        <f>'Ориентировочный бюджет'!B29</f>
        <v/>
      </c>
    </row>
  </sheetData>
  <mergeCells count="1">
    <mergeCell ref="A2:C2"/>
  </mergeCells>
  <conditionalFormatting sqref="D5:D15">
    <cfRule type="expression" priority="1" dxfId="0">
      <formula>D5=TRUE</formula>
    </cfRule>
    <cfRule type="expression" priority="2" dxfId="1">
      <formula>D5=FALSE</formula>
    </cfRule>
  </conditionalFormatting>
  <pageMargins left="0.75" right="0.75" top="1" bottom="1"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2026-10-06T05:43:29Z</dcterms:created>
  <dcterms:modified xsi:type="dcterms:W3CDTF">2026-10-06T05:43:29Z</dcterms:modified>
</cp:coreProperties>
</file>