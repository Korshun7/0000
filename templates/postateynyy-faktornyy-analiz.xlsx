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пользоваться" sheetId="1" state="visible" r:id="rId1"/>
    <sheet xmlns:r="http://schemas.openxmlformats.org/officeDocument/2006/relationships" name="Классификатор" sheetId="2" state="visible" r:id="rId2"/>
    <sheet xmlns:r="http://schemas.openxmlformats.org/officeDocument/2006/relationships" name="Шаблон" sheetId="3" state="visible" r:id="rId3"/>
    <sheet xmlns:r="http://schemas.openxmlformats.org/officeDocument/2006/relationships" name="Условный пример" sheetId="4" state="visible" r:id="rId4"/>
    <sheet xmlns:r="http://schemas.openxmlformats.org/officeDocument/2006/relationships" name="Укрупненный анализ" sheetId="5" state="visible" r:id="rId5"/>
    <sheet xmlns:r="http://schemas.openxmlformats.org/officeDocument/2006/relationships" name="Калькулятор позиции" sheetId="6" state="visible" r:id="rId6"/>
    <sheet xmlns:r="http://schemas.openxmlformats.org/officeDocument/2006/relationships" name="Ориентировочный бюджет" sheetId="7" state="visible" r:id="rId7"/>
    <sheet xmlns:r="http://schemas.openxmlformats.org/officeDocument/2006/relationships" name="Индекс" sheetId="8" state="visible" r:id="rId8"/>
    <sheet xmlns:r="http://schemas.openxmlformats.org/officeDocument/2006/relationships" name="Производные затраты" sheetId="9" state="visible" r:id="rId9"/>
    <sheet xmlns:r="http://schemas.openxmlformats.org/officeDocument/2006/relationships" name="Риск" sheetId="10" state="visible" r:id="rId10"/>
    <sheet xmlns:r="http://schemas.openxmlformats.org/officeDocument/2006/relationships" name="Реестр документов" sheetId="11" state="visible" r:id="rId11"/>
    <sheet xmlns:r="http://schemas.openxmlformats.org/officeDocument/2006/relationships" name="Контроль" sheetId="12" state="visible" r:id="rId12"/>
  </sheets>
  <definedNames>
    <definedName name="_xlnm.Print_Titles" localSheetId="0">'Как пользоваться'!$1:$2</definedName>
    <definedName name="_xlnm._FilterDatabase" localSheetId="1" hidden="1">'Классификатор'!$A$4:$E$49</definedName>
    <definedName name="_xlnm.Print_Titles" localSheetId="1">'Классификатор'!$1:$4</definedName>
    <definedName name="_xlnm._FilterDatabase" localSheetId="2" hidden="1">'Шаблон'!$A$4:$O$50</definedName>
    <definedName name="_xlnm.Print_Titles" localSheetId="2">'Шаблон'!$1:$4</definedName>
    <definedName name="_xlnm._FilterDatabase" localSheetId="3" hidden="1">'Условный пример'!$A$4:$O$50</definedName>
    <definedName name="_xlnm.Print_Titles" localSheetId="3">'Условный пример'!$1:$4</definedName>
    <definedName name="_xlnm.Print_Titles" localSheetId="4">'Укрупненный анализ'!$1:$5</definedName>
    <definedName name="_xlnm.Print_Titles" localSheetId="5">'Калькулятор позиции'!$1:$2</definedName>
    <definedName name="_xlnm.Print_Titles" localSheetId="6">'Ориентировочный бюджет'!$1:$2</definedName>
    <definedName name="_xlnm._FilterDatabase" localSheetId="10" hidden="1">'Реестр документов'!$A$4:$E$29</definedName>
    <definedName name="_xlnm.Print_Titles" localSheetId="10">'Реестр документов'!$1:$4</definedName>
  </definedNames>
  <calcPr calcId="124519" calcMode="auto" fullCalcOnLoad="1"/>
</workbook>
</file>

<file path=xl/styles.xml><?xml version="1.0" encoding="utf-8"?>
<styleSheet xmlns="http://schemas.openxmlformats.org/spreadsheetml/2006/main">
  <numFmts count="4">
    <numFmt numFmtId="164" formatCode="#,##0;[Red]-#,##0;&quot;—&quot;"/>
    <numFmt numFmtId="165" formatCode="0.0%;[Red]-0.0%;&quot;—&quot;"/>
    <numFmt numFmtId="166" formatCode="0.0000"/>
    <numFmt numFmtId="167" formatCode="0.0%"/>
  </numFmts>
  <fonts count="8">
    <font>
      <name val="Calibri"/>
      <family val="2"/>
      <color theme="1"/>
      <sz val="11"/>
      <scheme val="minor"/>
    </font>
    <font>
      <name val="Calibri"/>
      <b val="1"/>
      <color rgb="001F4E79"/>
      <sz val="16"/>
    </font>
    <font>
      <name val="Calibri"/>
      <i val="1"/>
      <color rgb="00595959"/>
      <sz val="9"/>
    </font>
    <font>
      <name val="Calibri"/>
      <sz val="10"/>
    </font>
    <font>
      <name val="Calibri"/>
      <b val="1"/>
      <color rgb="001F4E79"/>
      <sz val="13"/>
    </font>
    <font>
      <name val="Calibri"/>
      <b val="1"/>
      <color rgb="00FFFFFF"/>
      <sz val="10"/>
    </font>
    <font>
      <name val="Calibri"/>
      <b val="1"/>
      <color rgb="001F4E79"/>
      <sz val="10"/>
    </font>
    <font>
      <name val="Calibri"/>
      <b val="1"/>
      <color rgb="001F4E79"/>
      <sz val="14"/>
    </font>
  </fonts>
  <fills count="10">
    <fill>
      <patternFill/>
    </fill>
    <fill>
      <patternFill patternType="gray125"/>
    </fill>
    <fill>
      <patternFill patternType="solid">
        <fgColor rgb="001F4E79"/>
      </patternFill>
    </fill>
    <fill>
      <patternFill patternType="solid">
        <fgColor rgb="00D6E3F0"/>
      </patternFill>
    </fill>
    <fill>
      <patternFill patternType="solid">
        <fgColor rgb="00FFFFFF"/>
      </patternFill>
    </fill>
    <fill>
      <patternFill patternType="solid">
        <fgColor rgb="00FFF2CC"/>
      </patternFill>
    </fill>
    <fill>
      <patternFill patternType="solid">
        <fgColor rgb="00DEEBF7"/>
      </patternFill>
    </fill>
    <fill>
      <patternFill patternType="solid">
        <fgColor rgb="00E2EFDA"/>
      </patternFill>
    </fill>
    <fill>
      <patternFill patternType="solid">
        <fgColor rgb="00FCE4D6"/>
      </patternFill>
    </fill>
    <fill>
      <patternFill patternType="solid">
        <f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center" wrapText="1"/>
    </xf>
    <xf numFmtId="0" fontId="3"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3" borderId="1" applyAlignment="1" pivotButton="0" quotePrefix="0" xfId="0">
      <alignment horizontal="center" vertical="center" wrapText="1"/>
    </xf>
    <xf numFmtId="0" fontId="6" fillId="3" borderId="1" applyAlignment="1" pivotButton="0" quotePrefix="0" xfId="0">
      <alignment vertical="center" wrapText="1"/>
    </xf>
    <xf numFmtId="0" fontId="3"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vertical="center" wrapText="1" indent="1"/>
    </xf>
    <xf numFmtId="0" fontId="6" fillId="3" borderId="1" applyAlignment="1" pivotButton="0" quotePrefix="0" xfId="0">
      <alignment vertical="center" wrapText="1" indent="1"/>
    </xf>
    <xf numFmtId="0" fontId="3" fillId="4" borderId="1" applyAlignment="1" pivotButton="0" quotePrefix="0" xfId="0">
      <alignment vertical="center" wrapText="1" indent="2"/>
    </xf>
    <xf numFmtId="0" fontId="2" fillId="0" borderId="0" applyAlignment="1" pivotButton="0" quotePrefix="0" xfId="0">
      <alignment horizontal="left" vertical="center" wrapText="1"/>
    </xf>
    <xf numFmtId="164" fontId="6" fillId="3" borderId="1" applyAlignment="1" pivotButton="0" quotePrefix="0" xfId="0">
      <alignment horizontal="right" vertical="center" wrapText="1"/>
    </xf>
    <xf numFmtId="165" fontId="6" fillId="3" borderId="1" applyAlignment="1" pivotButton="0" quotePrefix="0" xfId="0">
      <alignment horizontal="center" vertical="center" wrapText="1"/>
    </xf>
    <xf numFmtId="164" fontId="3" fillId="5" borderId="1" applyAlignment="1" pivotButton="0" quotePrefix="0" xfId="0">
      <alignment horizontal="right" vertical="center" wrapText="1"/>
    </xf>
    <xf numFmtId="164" fontId="3" fillId="6" borderId="1" applyAlignment="1" pivotButton="0" quotePrefix="0" xfId="0">
      <alignment horizontal="right" vertical="center" wrapText="1"/>
    </xf>
    <xf numFmtId="165" fontId="3" fillId="6"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5" fillId="2" borderId="1" applyAlignment="1" pivotButton="0" quotePrefix="0" xfId="0">
      <alignment horizontal="left" vertical="center" wrapText="1"/>
    </xf>
    <xf numFmtId="164" fontId="5" fillId="2" borderId="1" applyAlignment="1" pivotButton="0" quotePrefix="0" xfId="0">
      <alignment horizontal="right" vertical="center" wrapText="1"/>
    </xf>
    <xf numFmtId="165" fontId="5" fillId="2" borderId="1" applyAlignment="1" pivotButton="0" quotePrefix="0" xfId="0">
      <alignment horizontal="center" vertical="center" wrapText="1"/>
    </xf>
    <xf numFmtId="0" fontId="2" fillId="4" borderId="1" applyAlignment="1" pivotButton="0" quotePrefix="0" xfId="0">
      <alignment horizontal="left" vertical="center" wrapText="1"/>
    </xf>
    <xf numFmtId="165" fontId="3" fillId="4" borderId="1" applyAlignment="1" pivotButton="0" quotePrefix="0" xfId="0">
      <alignment horizontal="center" vertical="center" wrapText="1"/>
    </xf>
    <xf numFmtId="0" fontId="6" fillId="7" borderId="1" applyAlignment="1" pivotButton="0" quotePrefix="0" xfId="0">
      <alignment horizontal="left" vertical="center" wrapText="1"/>
    </xf>
    <xf numFmtId="0" fontId="2" fillId="7" borderId="1" applyAlignment="1" pivotButton="0" quotePrefix="0" xfId="0">
      <alignment horizontal="left" vertical="center" wrapText="1"/>
    </xf>
    <xf numFmtId="164" fontId="6" fillId="7" borderId="1" applyAlignment="1" pivotButton="0" quotePrefix="0" xfId="0">
      <alignment horizontal="right" vertical="center" wrapText="1"/>
    </xf>
    <xf numFmtId="49" fontId="6" fillId="7" borderId="1" applyAlignment="1" pivotButton="0" quotePrefix="0" xfId="0">
      <alignment horizontal="center" vertical="center" wrapText="1"/>
    </xf>
    <xf numFmtId="0" fontId="2" fillId="3" borderId="1" applyAlignment="1" pivotButton="0" quotePrefix="0" xfId="0">
      <alignment horizontal="left" vertical="center" wrapText="1"/>
    </xf>
    <xf numFmtId="164" fontId="6" fillId="6" borderId="1" applyAlignment="1" pivotButton="0" quotePrefix="0" xfId="0">
      <alignment horizontal="right" vertical="center" wrapText="1"/>
    </xf>
    <xf numFmtId="165" fontId="6"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2" fillId="4" borderId="1" applyAlignment="1" pivotButton="0" quotePrefix="0" xfId="0">
      <alignment horizontal="center" vertical="center" wrapText="1"/>
    </xf>
    <xf numFmtId="0" fontId="6" fillId="0" borderId="0" pivotButton="0" quotePrefix="0" xfId="0"/>
    <xf numFmtId="4" fontId="3" fillId="5" borderId="1" applyAlignment="1" pivotButton="0" quotePrefix="0" xfId="0">
      <alignment horizontal="right" vertical="center" wrapText="1"/>
    </xf>
    <xf numFmtId="166" fontId="3" fillId="5" borderId="1" applyAlignment="1" pivotButton="0" quotePrefix="0" xfId="0">
      <alignment horizontal="right" vertical="center" wrapText="1"/>
    </xf>
    <xf numFmtId="4" fontId="6" fillId="6" borderId="1" applyAlignment="1" pivotButton="0" quotePrefix="0" xfId="0">
      <alignment horizontal="right" vertical="center" wrapText="1"/>
    </xf>
    <xf numFmtId="2" fontId="3" fillId="5" borderId="1" applyAlignment="1" pivotButton="0" quotePrefix="0" xfId="0">
      <alignment horizontal="right" vertical="center" wrapText="1"/>
    </xf>
    <xf numFmtId="164" fontId="3" fillId="7" borderId="1" applyAlignment="1" pivotButton="0" quotePrefix="0" xfId="0">
      <alignment horizontal="right" vertical="center" wrapText="1"/>
    </xf>
    <xf numFmtId="4" fontId="3" fillId="6" borderId="1" applyAlignment="1" pivotButton="0" quotePrefix="0" xfId="0">
      <alignment horizontal="right" vertical="center" wrapText="1"/>
    </xf>
    <xf numFmtId="10" fontId="3" fillId="5" borderId="1" applyAlignment="1" pivotButton="0" quotePrefix="0" xfId="0">
      <alignment horizontal="right" vertical="center" wrapText="1"/>
    </xf>
    <xf numFmtId="166" fontId="3" fillId="6" borderId="1" applyAlignment="1" pivotButton="0" quotePrefix="0" xfId="0">
      <alignment horizontal="right" vertical="center" wrapText="1"/>
    </xf>
    <xf numFmtId="10" fontId="6" fillId="6" borderId="1" applyAlignment="1" pivotButton="0" quotePrefix="0" xfId="0">
      <alignment horizontal="right" vertical="center" wrapText="1"/>
    </xf>
    <xf numFmtId="166" fontId="6" fillId="7" borderId="1" applyAlignment="1" pivotButton="0" quotePrefix="0" xfId="0">
      <alignment horizontal="right" vertical="center" wrapText="1"/>
    </xf>
    <xf numFmtId="3" fontId="3" fillId="5" borderId="1" applyAlignment="1" pivotButton="0" quotePrefix="0" xfId="0">
      <alignment horizontal="right" vertical="center" wrapText="1"/>
    </xf>
    <xf numFmtId="0" fontId="2" fillId="5" borderId="1" applyAlignment="1" pivotButton="0" quotePrefix="0" xfId="0">
      <alignment horizontal="left" vertical="center" wrapText="1"/>
    </xf>
    <xf numFmtId="0" fontId="2" fillId="8" borderId="1" applyAlignment="1" pivotButton="0" quotePrefix="0" xfId="0">
      <alignment horizontal="left" vertical="center" wrapText="1"/>
    </xf>
    <xf numFmtId="1" fontId="6" fillId="5" borderId="1" applyAlignment="1" pivotButton="0" quotePrefix="0" xfId="0">
      <alignment horizontal="center" vertical="center" wrapText="1"/>
    </xf>
    <xf numFmtId="1" fontId="6" fillId="6" borderId="1" applyAlignment="1" pivotButton="0" quotePrefix="0" xfId="0">
      <alignment horizontal="center" vertical="center" wrapText="1"/>
    </xf>
    <xf numFmtId="0" fontId="3" fillId="8" borderId="1" applyAlignment="1" pivotButton="0" quotePrefix="0" xfId="0">
      <alignment horizontal="left" vertical="center" wrapText="1"/>
    </xf>
    <xf numFmtId="0" fontId="7" fillId="7"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7" borderId="1" applyAlignment="1" pivotButton="0" quotePrefix="0" xfId="0">
      <alignment horizontal="left" vertical="center" wrapText="1"/>
    </xf>
    <xf numFmtId="0" fontId="5" fillId="2" borderId="0" applyAlignment="1" pivotButton="0" quotePrefix="0" xfId="0">
      <alignment horizontal="center" vertical="center" wrapText="1"/>
    </xf>
    <xf numFmtId="164" fontId="3" fillId="4" borderId="1" applyAlignment="1" pivotButton="0" quotePrefix="0" xfId="0">
      <alignment horizontal="right" vertical="center" wrapText="1"/>
    </xf>
    <xf numFmtId="0" fontId="3" fillId="6" borderId="1" applyAlignment="1" pivotButton="0" quotePrefix="0" xfId="0">
      <alignment horizontal="center" vertical="center" wrapText="1"/>
    </xf>
    <xf numFmtId="167" fontId="6" fillId="6" borderId="1" applyAlignment="1" pivotButton="0" quotePrefix="0" xfId="0">
      <alignment horizontal="right" vertical="center" wrapText="1"/>
    </xf>
    <xf numFmtId="167" fontId="3" fillId="4" borderId="1" applyAlignment="1" pivotButton="0" quotePrefix="0" xfId="0">
      <alignment horizontal="right" vertical="center" wrapText="1"/>
    </xf>
    <xf numFmtId="2" fontId="6" fillId="6" borderId="1" applyAlignment="1" pivotButton="0" quotePrefix="0" xfId="0">
      <alignment horizontal="right" vertical="center" wrapText="1"/>
    </xf>
  </cellXfs>
  <cellStyles count="1">
    <cellStyle name="Normal" xfId="0" builtinId="0" hidden="0"/>
  </cellStyles>
  <dxfs count="4">
    <dxf>
      <fill>
        <patternFill patternType="solid">
          <fgColor rgb="00E2EFDA"/>
        </patternFill>
      </fill>
    </dxf>
    <dxf>
      <fill>
        <patternFill patternType="solid">
          <fgColor rgb="00F8CBAD"/>
        </patternFill>
      </fill>
    </dxf>
    <dxf>
      <font>
        <name val="Calibri"/>
        <b val="1"/>
        <color rgb="00843C0C"/>
      </font>
      <fill>
        <patternFill patternType="solid">
          <fgColor rgb="00F8CBAD"/>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7377"/>
    <outlinePr summaryBelow="1" summaryRight="1"/>
    <pageSetUpPr fitToPage="1"/>
  </sheetPr>
  <dimension ref="A1:F30"/>
  <sheetViews>
    <sheetView showGridLines="0" workbookViewId="0">
      <pane ySplit="3" topLeftCell="A4" activePane="bottomLeft" state="frozen"/>
      <selection pane="bottomLeft" activeCell="A1" sqref="A1"/>
    </sheetView>
  </sheetViews>
  <sheetFormatPr baseColWidth="8" defaultRowHeight="15"/>
  <cols>
    <col width="28" customWidth="1" min="1" max="1"/>
    <col width="42" customWidth="1" min="2" max="2"/>
    <col width="22" customWidth="1" min="3" max="3"/>
    <col width="22" customWidth="1" min="4" max="4"/>
    <col width="22" customWidth="1" min="5" max="5"/>
    <col width="22" customWidth="1" min="6" max="6"/>
  </cols>
  <sheetData>
    <row r="1">
      <c r="A1" s="1" t="inlineStr">
        <is>
          <t>Постатейный факторный анализ корректировки бюджета</t>
        </is>
      </c>
    </row>
    <row r="2" ht="20" customHeight="1">
      <c r="A2" s="2" t="inlineStr">
        <is>
          <t>Расчетное приложение к методике. Валюта — российский рубль, суммы без НДС.</t>
        </is>
      </c>
    </row>
    <row r="4" ht="22" customHeight="1">
      <c r="A4" s="3" t="inlineStr">
        <is>
          <t>1. Базовый бюджет — редакция, утвержденная на старте финансирования. Промежуточные версии его не заменяют.</t>
        </is>
      </c>
    </row>
    <row r="5" ht="22" customHeight="1">
      <c r="A5" s="3" t="inlineStr">
        <is>
          <t>2. Сначала выведите за периметр новые очереди и выбывшие объекты. В факторы они не входят.</t>
        </is>
      </c>
    </row>
    <row r="6" ht="22" customHeight="1">
      <c r="A6" s="3" t="inlineStr">
        <is>
          <t>3. Заполняйте только желтые ячейки строк нижнего уровня на листе «Шаблон». Агрегаты и итог считаются сами.</t>
        </is>
      </c>
    </row>
    <row r="7" ht="22" customHeight="1">
      <c r="A7" s="3" t="inlineStr">
        <is>
          <t>4. Колонка «Контроль» обязана быть нулевой по каждой строке. Ненулевой остаток — не четвертый фактор, а незавершенный расчет.</t>
        </is>
      </c>
    </row>
    <row r="8" ht="22" customHeight="1">
      <c r="A8" s="3" t="inlineStr">
        <is>
          <t>5. Инфляция считается на исходный объем и исходное решение относительно дефляторов, утвержденных в базовой модели.</t>
        </is>
      </c>
    </row>
    <row r="9" ht="22" customHeight="1">
      <c r="A9" s="3" t="inlineStr">
        <is>
          <t>6. Изменения проектной документации оцениваются в текущих ценах. Инфляция приростного объема повторно в фактор 1 не ставится.</t>
        </is>
      </c>
    </row>
    <row r="10" ht="22" customHeight="1">
      <c r="A10" s="3" t="inlineStr">
        <is>
          <t>7. Страхование и процент генподряда считаются после разложения своей базы. Проценты по кредиту в бюджет проекта не входят и в факторы не ставятся. Калькулятор процента генподряда — на листе «Производные затраты».</t>
        </is>
      </c>
    </row>
    <row r="11" ht="22" customHeight="1">
      <c r="A11" s="3" t="inlineStr">
        <is>
          <t>8. Одну позицию удобно разложить на листе «Калькулятор позиции». Индекс собирается на листе «Индекс».</t>
        </is>
      </c>
    </row>
    <row r="12" ht="22" customHeight="1">
      <c r="A12" s="3" t="inlineStr">
        <is>
          <t>9. Риск до ввода — это риск нового роста сверх откорректированного бюджета. Качественная оценка стоит в колонке «Риск до ввода», величина в рублях — в колонке «Сумма риска». В тождество факторов сумма риска не входит.</t>
        </is>
      </c>
    </row>
    <row r="13" ht="22" customHeight="1">
      <c r="A13" s="3" t="inlineStr">
        <is>
          <t>10. Лист «Условный пример» — постатейная таблица. Под ней упрощенные формулы сумм факторов. Лист «Укрупненный анализ» сводит те же цифры в пять групп. Это не заключение по реальному объекту.</t>
        </is>
      </c>
    </row>
    <row r="14" ht="22" customHeight="1">
      <c r="A14" s="3" t="inlineStr">
        <is>
          <t>11. Класс надежности: А — первичные объемы, цены и индексы; Б — параметрический расчет; В — экспертный остаток. Для ориентировочного бюджета до рабочей документации класс А по строительной статье не ставится.</t>
        </is>
      </c>
    </row>
    <row r="15" ht="22" customHeight="1">
      <c r="A15" s="3" t="inlineStr">
        <is>
          <t>12. Полные правила, запрет двойного счета и реестр доказательств — в текстовой методике.</t>
        </is>
      </c>
    </row>
    <row r="16" ht="22" customHeight="1">
      <c r="A16" s="3" t="inlineStr">
        <is>
          <t>13. Если в базовом бюджете не было смет и рабочей документации, статья считается на листе «Ориентировочный бюджет»: инфляция начисляется на удельную ставку, а первый обсчет той же программы раскрывается внутри иных причин.</t>
        </is>
      </c>
    </row>
    <row r="17">
      <c r="A17" s="4" t="inlineStr">
        <is>
          <t>Листы файла</t>
        </is>
      </c>
    </row>
    <row r="18">
      <c r="A18" s="5" t="inlineStr">
        <is>
          <t>Лист</t>
        </is>
      </c>
      <c r="B18" s="5" t="inlineStr">
        <is>
          <t>Назначение</t>
        </is>
      </c>
    </row>
    <row r="19">
      <c r="A19" s="6" t="inlineStr">
        <is>
          <t>Как пользоваться</t>
        </is>
      </c>
      <c r="B19" s="7" t="inlineStr">
        <is>
          <t>Порядок ввода и контроль</t>
        </is>
      </c>
      <c r="C19" s="8" t="n"/>
      <c r="D19" s="8" t="n"/>
      <c r="E19" s="8" t="n"/>
      <c r="F19" s="9" t="n"/>
    </row>
    <row r="20">
      <c r="A20" s="6" t="inlineStr">
        <is>
          <t>Классификатор</t>
        </is>
      </c>
      <c r="B20" s="7" t="inlineStr">
        <is>
          <t>Коды статей, которые нельзя схлопывать и нельзя заводить вручную на агрегатах</t>
        </is>
      </c>
      <c r="C20" s="8" t="n"/>
      <c r="D20" s="8" t="n"/>
      <c r="E20" s="8" t="n"/>
      <c r="F20" s="9" t="n"/>
    </row>
    <row r="21">
      <c r="A21" s="6" t="inlineStr">
        <is>
          <t>Шаблон</t>
        </is>
      </c>
      <c r="B21" s="7" t="inlineStr">
        <is>
          <t>Пустая постатейная таблица с формулами</t>
        </is>
      </c>
      <c r="C21" s="8" t="n"/>
      <c r="D21" s="8" t="n"/>
      <c r="E21" s="8" t="n"/>
      <c r="F21" s="9" t="n"/>
    </row>
    <row r="22">
      <c r="A22" s="6" t="inlineStr">
        <is>
          <t>Условный пример</t>
        </is>
      </c>
      <c r="B22" s="7" t="inlineStr">
        <is>
          <t>Постатейный пример без процентов по кредиту: 7,02 млрд руб. → 8,175 млрд руб.</t>
        </is>
      </c>
      <c r="C22" s="8" t="n"/>
      <c r="D22" s="8" t="n"/>
      <c r="E22" s="8" t="n"/>
      <c r="F22" s="9" t="n"/>
    </row>
    <row r="23">
      <c r="A23" s="6" t="inlineStr">
        <is>
          <t>Укрупненный анализ</t>
        </is>
      </c>
      <c r="B23" s="7" t="inlineStr">
        <is>
          <t>Пять групп: СМР, ПИР, наружные сети и ТУ, коммерческие, административные</t>
        </is>
      </c>
      <c r="C23" s="8" t="n"/>
      <c r="D23" s="8" t="n"/>
      <c r="E23" s="8" t="n"/>
      <c r="F23" s="9" t="n"/>
    </row>
    <row r="24">
      <c r="A24" s="6" t="inlineStr">
        <is>
          <t>Калькулятор позиции</t>
        </is>
      </c>
      <c r="B24" s="7" t="inlineStr">
        <is>
          <t>Формула трех факторов для одной работы</t>
        </is>
      </c>
      <c r="C24" s="8" t="n"/>
      <c r="D24" s="8" t="n"/>
      <c r="E24" s="8" t="n"/>
      <c r="F24" s="9" t="n"/>
    </row>
    <row r="25">
      <c r="A25" s="6" t="inlineStr">
        <is>
          <t>Ориентировочный бюджет</t>
        </is>
      </c>
      <c r="B25" s="7" t="inlineStr">
        <is>
          <t>Удельная ставка до рабочей документации: инфляция, отступление от паспорта и уточнение</t>
        </is>
      </c>
      <c r="C25" s="8" t="n"/>
      <c r="D25" s="8" t="n"/>
      <c r="E25" s="8" t="n"/>
      <c r="F25" s="9" t="n"/>
    </row>
    <row r="26">
      <c r="A26" s="6" t="inlineStr">
        <is>
          <t>Индекс</t>
        </is>
      </c>
      <c r="B26" s="7" t="inlineStr">
        <is>
          <t>Сборка коэффициента инфляции из весов ресурсов</t>
        </is>
      </c>
      <c r="C26" s="8" t="n"/>
      <c r="D26" s="8" t="n"/>
      <c r="E26" s="8" t="n"/>
      <c r="F26" s="9" t="n"/>
    </row>
    <row r="27">
      <c r="A27" s="6" t="inlineStr">
        <is>
          <t>Производные затраты</t>
        </is>
      </c>
      <c r="B27" s="7" t="inlineStr">
        <is>
          <t>Процент генподряда и содержание команды. Процентов по кредиту на листе нет</t>
        </is>
      </c>
      <c r="C27" s="8" t="n"/>
      <c r="D27" s="8" t="n"/>
      <c r="E27" s="8" t="n"/>
      <c r="F27" s="9" t="n"/>
    </row>
    <row r="28">
      <c r="A28" s="6" t="inlineStr">
        <is>
          <t>Риск</t>
        </is>
      </c>
      <c r="B28" s="7" t="inlineStr">
        <is>
          <t>Шкала баллов до ввода в эксплуатацию</t>
        </is>
      </c>
      <c r="C28" s="8" t="n"/>
      <c r="D28" s="8" t="n"/>
      <c r="E28" s="8" t="n"/>
      <c r="F28" s="9" t="n"/>
    </row>
    <row r="29">
      <c r="A29" s="6" t="inlineStr">
        <is>
          <t>Реестр документов</t>
        </is>
      </c>
      <c r="B29" s="7" t="inlineStr">
        <is>
          <t>Минимальный комплект доказательств по факторам</t>
        </is>
      </c>
      <c r="C29" s="8" t="n"/>
      <c r="D29" s="8" t="n"/>
      <c r="E29" s="8" t="n"/>
      <c r="F29" s="9" t="n"/>
    </row>
    <row r="30">
      <c r="A30" s="6" t="inlineStr">
        <is>
          <t>Контроль</t>
        </is>
      </c>
      <c r="B30" s="7" t="inlineStr">
        <is>
          <t>Сверка итога условного примера</t>
        </is>
      </c>
      <c r="C30" s="8" t="n"/>
      <c r="D30" s="8" t="n"/>
      <c r="E30" s="8" t="n"/>
      <c r="F30" s="9" t="n"/>
    </row>
  </sheetData>
  <mergeCells count="26">
    <mergeCell ref="A16:F16"/>
    <mergeCell ref="B25:F25"/>
    <mergeCell ref="A12:F12"/>
    <mergeCell ref="B22:F22"/>
    <mergeCell ref="B27:F27"/>
    <mergeCell ref="B21:F21"/>
    <mergeCell ref="A2:F2"/>
    <mergeCell ref="A14:F14"/>
    <mergeCell ref="A5:F5"/>
    <mergeCell ref="A8:F8"/>
    <mergeCell ref="B23:F23"/>
    <mergeCell ref="A4:F4"/>
    <mergeCell ref="B29:F29"/>
    <mergeCell ref="A10:F10"/>
    <mergeCell ref="A13:F13"/>
    <mergeCell ref="B28:F28"/>
    <mergeCell ref="A9:F9"/>
    <mergeCell ref="B19:F19"/>
    <mergeCell ref="A15:F15"/>
    <mergeCell ref="B30:F30"/>
    <mergeCell ref="A11:F11"/>
    <mergeCell ref="B24:F24"/>
    <mergeCell ref="B20:F20"/>
    <mergeCell ref="A6:F6"/>
    <mergeCell ref="B26:F26"/>
    <mergeCell ref="A7:F7"/>
  </mergeCell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548235"/>
    <outlinePr summaryBelow="1" summaryRight="1"/>
    <pageSetUpPr fitToPage="1"/>
  </sheetPr>
  <dimension ref="A1:E49"/>
  <sheetViews>
    <sheetView showGridLines="0" workbookViewId="0">
      <pane ySplit="4" topLeftCell="A5" activePane="bottomLeft" state="frozen"/>
      <selection pane="bottomLeft" activeCell="A1" sqref="A1"/>
    </sheetView>
  </sheetViews>
  <sheetFormatPr baseColWidth="8" defaultRowHeight="15"/>
  <cols>
    <col width="14" customWidth="1" min="1" max="1"/>
    <col width="68" customWidth="1" min="2" max="2"/>
    <col width="12" customWidth="1" min="3" max="3"/>
    <col width="78" customWidth="1" min="4" max="4"/>
    <col width="42" customWidth="1" min="5" max="5"/>
  </cols>
  <sheetData>
    <row r="1">
      <c r="A1" s="1" t="inlineStr">
        <is>
          <t>Классификатор статей бюджета</t>
        </is>
      </c>
    </row>
    <row r="2">
      <c r="A2" s="2" t="inlineStr">
        <is>
          <t>Нулевая строка не удаляется. Строка 03.04 заполняется только при наличии технологического оборудования в периметре бюджета.</t>
        </is>
      </c>
    </row>
    <row r="4">
      <c r="A4" s="5" t="inlineStr">
        <is>
          <t>Код</t>
        </is>
      </c>
      <c r="B4" s="5" t="inlineStr">
        <is>
          <t>Наименование</t>
        </is>
      </c>
      <c r="C4" s="5" t="inlineStr">
        <is>
          <t>Уровень</t>
        </is>
      </c>
      <c r="D4" s="5" t="inlineStr">
        <is>
          <t>Примечание по отнесению</t>
        </is>
      </c>
      <c r="E4" s="5" t="inlineStr">
        <is>
          <t>Типовой носитель фактора</t>
        </is>
      </c>
    </row>
    <row r="5" ht="32" customHeight="1">
      <c r="A5" s="10" t="inlineStr">
        <is>
          <t>01</t>
        </is>
      </c>
      <c r="B5" s="11" t="inlineStr">
        <is>
          <t>Подготовка строительства и земля</t>
        </is>
      </c>
      <c r="C5" s="10" t="n">
        <v>1</v>
      </c>
      <c r="D5" s="12" t="inlineStr">
        <is>
          <t>Вне периметра остается покупка прав на участок, если ее не было в бюджете T0.</t>
        </is>
      </c>
      <c r="E5" s="12" t="inlineStr">
        <is>
          <t>Смешанный</t>
        </is>
      </c>
    </row>
    <row r="6" ht="32" customHeight="1">
      <c r="A6" s="13" t="inlineStr">
        <is>
          <t>01.01</t>
        </is>
      </c>
      <c r="B6" s="14" t="inlineStr">
        <is>
          <t>Градостроительная подготовка и права на земельный участок</t>
        </is>
      </c>
      <c r="C6" s="13" t="n">
        <v>2</v>
      </c>
      <c r="D6" s="7" t="inlineStr">
        <is>
          <t>Градостроительные платежи редко имеют строительный дефлятор.</t>
        </is>
      </c>
      <c r="E6" s="7" t="inlineStr">
        <is>
          <t>Смешанный</t>
        </is>
      </c>
    </row>
    <row r="7" ht="32" customHeight="1">
      <c r="A7" s="13" t="inlineStr">
        <is>
          <t>01.02</t>
        </is>
      </c>
      <c r="B7" s="14" t="inlineStr">
        <is>
          <t>Освобождение территории, снос и перенос существующих сетей</t>
        </is>
      </c>
      <c r="C7" s="13" t="n">
        <v>2</v>
      </c>
      <c r="D7" s="7" t="inlineStr">
        <is>
          <t>Объем подтверждается исполнительными схемами, а не только счетами.</t>
        </is>
      </c>
      <c r="E7" s="7" t="inlineStr">
        <is>
          <t>Смешанный</t>
        </is>
      </c>
    </row>
    <row r="8" ht="32" customHeight="1">
      <c r="A8" s="13" t="inlineStr">
        <is>
          <t>01.03</t>
        </is>
      </c>
      <c r="B8" s="14" t="inlineStr">
        <is>
          <t>Земляные работы, котлован, крепление и водопонижение</t>
        </is>
      </c>
      <c r="C8" s="13" t="n">
        <v>2</v>
      </c>
      <c r="D8" s="7" t="inlineStr">
        <is>
          <t>Смена конструкции крепления из-за геологии — фактор ПСД. Фактический водоприток при тех же чертежах — иная причина.</t>
        </is>
      </c>
      <c r="E8" s="7" t="inlineStr">
        <is>
          <t>Смешанный</t>
        </is>
      </c>
    </row>
    <row r="9" ht="32" customHeight="1">
      <c r="A9" s="13" t="inlineStr">
        <is>
          <t>01.04</t>
        </is>
      </c>
      <c r="B9" s="14" t="inlineStr">
        <is>
          <t>Временная строительная инфраструктура площадки</t>
        </is>
      </c>
      <c r="C9" s="13" t="n">
        <v>2</v>
      </c>
      <c r="D9" s="7" t="inlineStr">
        <is>
          <t>Городок заказчика не дублируется внутри договоров подрядчиков.</t>
        </is>
      </c>
      <c r="E9" s="7" t="inlineStr">
        <is>
          <t>Смешанный</t>
        </is>
      </c>
    </row>
    <row r="10" ht="32" customHeight="1">
      <c r="A10" s="10" t="inlineStr">
        <is>
          <t>02</t>
        </is>
      </c>
      <c r="B10" s="11" t="inlineStr">
        <is>
          <t>Проектно-изыскательские работы и авторский надзор</t>
        </is>
      </c>
      <c r="C10" s="10" t="n">
        <v>1</v>
      </c>
      <c r="D10" s="12" t="inlineStr">
        <is>
          <t>Индекс СМР к проектированию не применяется.</t>
        </is>
      </c>
      <c r="E10" s="12" t="inlineStr">
        <is>
          <t>Ставки проектирования и состав разделов</t>
        </is>
      </c>
    </row>
    <row r="11" ht="32" customHeight="1">
      <c r="A11" s="13" t="inlineStr">
        <is>
          <t>02.01</t>
        </is>
      </c>
      <c r="B11" s="14" t="inlineStr">
        <is>
          <t>Инженерные изыскания</t>
        </is>
      </c>
      <c r="C11" s="13" t="n">
        <v>2</v>
      </c>
      <c r="D11" s="7" t="inlineStr">
        <is>
          <t>Допизыскания под новое решение — фактор ПСД.</t>
        </is>
      </c>
      <c r="E11" s="7" t="inlineStr">
        <is>
          <t>Ставки проектирования и состав разделов</t>
        </is>
      </c>
    </row>
    <row r="12" ht="32" customHeight="1">
      <c r="A12" s="13" t="inlineStr">
        <is>
          <t>02.02</t>
        </is>
      </c>
      <c r="B12" s="14" t="inlineStr">
        <is>
          <t>Проектная документация</t>
        </is>
      </c>
      <c r="C12" s="13" t="n">
        <v>2</v>
      </c>
      <c r="D12" s="7" t="inlineStr">
        <is>
          <t>Сверяются два задания на проектирование.</t>
        </is>
      </c>
      <c r="E12" s="7" t="inlineStr">
        <is>
          <t>Ставки проектирования и состав разделов</t>
        </is>
      </c>
    </row>
    <row r="13" ht="32" customHeight="1">
      <c r="A13" s="13" t="inlineStr">
        <is>
          <t>02.03</t>
        </is>
      </c>
      <c r="B13" s="14" t="inlineStr">
        <is>
          <t>Рабочая документация</t>
        </is>
      </c>
      <c r="C13" s="13" t="n">
        <v>2</v>
      </c>
      <c r="D13" s="7" t="inlineStr">
        <is>
          <t>Главное доказательство — реестр измов с причиной.</t>
        </is>
      </c>
      <c r="E13" s="7" t="inlineStr">
        <is>
          <t>Ставки проектирования и состав разделов</t>
        </is>
      </c>
    </row>
    <row r="14" ht="32" customHeight="1">
      <c r="A14" s="13" t="inlineStr">
        <is>
          <t>02.04</t>
        </is>
      </c>
      <c r="B14" s="14" t="inlineStr">
        <is>
          <t>Экспертиза проектной документации и результатов изысканий</t>
        </is>
      </c>
      <c r="C14" s="13" t="n">
        <v>2</v>
      </c>
      <c r="D14" s="7" t="inlineStr">
        <is>
          <t>Повторная экспертиза из-за смены ТЭП — фактор ПСД.</t>
        </is>
      </c>
      <c r="E14" s="7" t="inlineStr">
        <is>
          <t>Ставки проектирования и состав разделов</t>
        </is>
      </c>
    </row>
    <row r="15" ht="32" customHeight="1">
      <c r="A15" s="13" t="inlineStr">
        <is>
          <t>02.05</t>
        </is>
      </c>
      <c r="B15" s="14" t="inlineStr">
        <is>
          <t>Авторский надзор</t>
        </is>
      </c>
      <c r="C15" s="13" t="n">
        <v>2</v>
      </c>
      <c r="D15" s="7" t="inlineStr">
        <is>
          <t>Месяцы сверх даты ввода T0 не смешиваются с содержанием службы заказчика.</t>
        </is>
      </c>
      <c r="E15" s="7" t="inlineStr">
        <is>
          <t>Ставки проектирования и состав разделов</t>
        </is>
      </c>
    </row>
    <row r="16" ht="32" customHeight="1">
      <c r="A16" s="10" t="inlineStr">
        <is>
          <t>03</t>
        </is>
      </c>
      <c r="B16" s="11" t="inlineStr">
        <is>
          <t>Строительно-монтажные работы</t>
        </is>
      </c>
      <c r="C16" s="10" t="n">
        <v>1</v>
      </c>
      <c r="D16" s="12" t="inlineStr">
        <is>
          <t>Модель контрактования определяется по договору строки, а не одним ярлыком на проект.</t>
        </is>
      </c>
      <c r="E16" s="12" t="inlineStr">
        <is>
          <t>Объем, расценка, индекс ресурсов</t>
        </is>
      </c>
    </row>
    <row r="17" ht="32" customHeight="1">
      <c r="A17" s="10" t="inlineStr">
        <is>
          <t>03.01</t>
        </is>
      </c>
      <c r="B17" s="15" t="inlineStr">
        <is>
          <t>Общестроительные работы и конструктив</t>
        </is>
      </c>
      <c r="C17" s="10" t="n">
        <v>2</v>
      </c>
      <c r="D17" s="12" t="inlineStr">
        <is>
          <t>Отдельно отслеживаются тип фундамента, расход арматуры, тип фасада и остекление.</t>
        </is>
      </c>
      <c r="E17" s="12" t="inlineStr">
        <is>
          <t>Объем, расценка, индекс ресурсов</t>
        </is>
      </c>
    </row>
    <row r="18" ht="32" customHeight="1">
      <c r="A18" s="13" t="inlineStr">
        <is>
          <t>03.01.01</t>
        </is>
      </c>
      <c r="B18" s="16" t="inlineStr">
        <is>
          <t>Фундаменты и подземная часть</t>
        </is>
      </c>
      <c r="C18" s="13" t="n">
        <v>3</v>
      </c>
      <c r="D18" s="7" t="inlineStr">
        <is>
          <t>Единичные расценки дают класс А при наличии ведомости и калькуляции.</t>
        </is>
      </c>
      <c r="E18" s="7" t="inlineStr">
        <is>
          <t>Объем, расценка, индекс ресурсов</t>
        </is>
      </c>
    </row>
    <row r="19" ht="32" customHeight="1">
      <c r="A19" s="13" t="inlineStr">
        <is>
          <t>03.01.02</t>
        </is>
      </c>
      <c r="B19" s="16" t="inlineStr">
        <is>
          <t>Несущий каркас</t>
        </is>
      </c>
      <c r="C19" s="13" t="n">
        <v>3</v>
      </c>
      <c r="D19" s="7" t="inlineStr">
        <is>
          <t>Прирост кг арматуры на м³ при новой РД — фактор ПСД.</t>
        </is>
      </c>
      <c r="E19" s="7" t="inlineStr">
        <is>
          <t>Объем, расценка, индекс ресурсов</t>
        </is>
      </c>
    </row>
    <row r="20" ht="32" customHeight="1">
      <c r="A20" s="13" t="inlineStr">
        <is>
          <t>03.01.03</t>
        </is>
      </c>
      <c r="B20" s="16" t="inlineStr">
        <is>
          <t>Стены и перегородки</t>
        </is>
      </c>
      <c r="C20" s="13" t="n">
        <v>3</v>
      </c>
      <c r="D20" s="7" t="inlineStr">
        <is>
          <t>Планировочные перегородки — фактор ПСД, если их добавила новая РД.</t>
        </is>
      </c>
      <c r="E20" s="7" t="inlineStr">
        <is>
          <t>Объем, расценка, индекс ресурсов</t>
        </is>
      </c>
    </row>
    <row r="21" ht="32" customHeight="1">
      <c r="A21" s="13" t="inlineStr">
        <is>
          <t>03.01.04</t>
        </is>
      </c>
      <c r="B21" s="16" t="inlineStr">
        <is>
          <t>Фасады и кровля</t>
        </is>
      </c>
      <c r="C21" s="13" t="n">
        <v>3</v>
      </c>
      <c r="D21" s="7" t="inlineStr">
        <is>
          <t>Замена системы фасада оценивается по цене нового решения, а не индексом старого.</t>
        </is>
      </c>
      <c r="E21" s="7" t="inlineStr">
        <is>
          <t>Объем, расценка, индекс ресурсов</t>
        </is>
      </c>
    </row>
    <row r="22" ht="32" customHeight="1">
      <c r="A22" s="13" t="inlineStr">
        <is>
          <t>03.01.05</t>
        </is>
      </c>
      <c r="B22" s="16" t="inlineStr">
        <is>
          <t>Окна, двери и светопрозрачные конструкции</t>
        </is>
      </c>
      <c r="C22" s="13" t="n">
        <v>3</v>
      </c>
      <c r="D22" s="7" t="inlineStr">
        <is>
          <t>Смена марки профиля и стекла — смена решения.</t>
        </is>
      </c>
      <c r="E22" s="7" t="inlineStr">
        <is>
          <t>Объем, расценка, индекс ресурсов</t>
        </is>
      </c>
    </row>
    <row r="23" ht="32" customHeight="1">
      <c r="A23" s="13" t="inlineStr">
        <is>
          <t>03.01.06</t>
        </is>
      </c>
      <c r="B23" s="16" t="inlineStr">
        <is>
          <t>Внутренняя черновая отделка</t>
        </is>
      </c>
      <c r="C23" s="13" t="n">
        <v>3</v>
      </c>
      <c r="D23" s="7" t="inlineStr">
        <is>
          <t>Отделка шоурума сюда не включается, если она сидит в группе 05.</t>
        </is>
      </c>
      <c r="E23" s="7" t="inlineStr">
        <is>
          <t>Объем, расценка, индекс ресурсов</t>
        </is>
      </c>
    </row>
    <row r="24" ht="32" customHeight="1">
      <c r="A24" s="13" t="inlineStr">
        <is>
          <t>03.01.07</t>
        </is>
      </c>
      <c r="B24" s="16" t="inlineStr">
        <is>
          <t>Лифты и подъемное оборудование</t>
        </is>
      </c>
      <c r="C24" s="13" t="n">
        <v>3</v>
      </c>
      <c r="D24" s="7" t="inlineStr">
        <is>
          <t>Изменение числа подъемов и грузоподъемности — фактор ПСД.</t>
        </is>
      </c>
      <c r="E24" s="7" t="inlineStr">
        <is>
          <t>Объем, расценка, индекс ресурсов</t>
        </is>
      </c>
    </row>
    <row r="25" ht="32" customHeight="1">
      <c r="A25" s="10" t="inlineStr">
        <is>
          <t>03.02</t>
        </is>
      </c>
      <c r="B25" s="15" t="inlineStr">
        <is>
          <t>Внутренние инженерные системы</t>
        </is>
      </c>
      <c r="C25" s="10" t="n">
        <v>2</v>
      </c>
      <c r="D25" s="12" t="inlineStr">
        <is>
          <t>Пусконаладка системы сидит в строке этой системы.</t>
        </is>
      </c>
      <c r="E25" s="12" t="inlineStr">
        <is>
          <t>Объем, расценка, индекс ресурсов</t>
        </is>
      </c>
    </row>
    <row r="26" ht="32" customHeight="1">
      <c r="A26" s="13" t="inlineStr">
        <is>
          <t>03.02.01</t>
        </is>
      </c>
      <c r="B26" s="16" t="inlineStr">
        <is>
          <t>Отопление, вентиляция и кондиционирование</t>
        </is>
      </c>
      <c r="C26" s="13" t="n">
        <v>3</v>
      </c>
      <c r="D26" s="7" t="inlineStr">
        <is>
          <t>Курсовое допущение модели на исходную спецификацию — инфляция. Новая производительность — ПСД.</t>
        </is>
      </c>
      <c r="E26" s="7" t="inlineStr">
        <is>
          <t>Объем, расценка, индекс ресурсов</t>
        </is>
      </c>
    </row>
    <row r="27" ht="32" customHeight="1">
      <c r="A27" s="13" t="inlineStr">
        <is>
          <t>03.02.02</t>
        </is>
      </c>
      <c r="B27" s="16" t="inlineStr">
        <is>
          <t>Водоснабжение и водоотведение</t>
        </is>
      </c>
      <c r="C27" s="13" t="n">
        <v>3</v>
      </c>
      <c r="D27" s="7" t="inlineStr">
        <is>
          <t>Количество приборов берется из спецификации, а не из площади здания.</t>
        </is>
      </c>
      <c r="E27" s="7" t="inlineStr">
        <is>
          <t>Объем, расценка, индекс ресурсов</t>
        </is>
      </c>
    </row>
    <row r="28" ht="32" customHeight="1">
      <c r="A28" s="13" t="inlineStr">
        <is>
          <t>03.02.03</t>
        </is>
      </c>
      <c r="B28" s="16" t="inlineStr">
        <is>
          <t>Электрооборудование, электроосвещение и молниезащита</t>
        </is>
      </c>
      <c r="C28" s="13" t="n">
        <v>3</v>
      </c>
      <c r="D28" s="7" t="inlineStr">
        <is>
          <t>Рост кВт по новым ТЭП — фактор ПСД. Тариф исходных кВт — инфляция.</t>
        </is>
      </c>
      <c r="E28" s="7" t="inlineStr">
        <is>
          <t>Объем, расценка, индекс ресурсов</t>
        </is>
      </c>
    </row>
    <row r="29" ht="32" customHeight="1">
      <c r="A29" s="13" t="inlineStr">
        <is>
          <t>03.02.04</t>
        </is>
      </c>
      <c r="B29" s="16" t="inlineStr">
        <is>
          <t>Сети связи, АПС, СОУЭ, СКУД, автоматизация и диспетчеризация</t>
        </is>
      </c>
      <c r="C29" s="13" t="n">
        <v>3</v>
      </c>
      <c r="D29" s="7" t="inlineStr">
        <is>
          <t>Смена задания на системы подтверждает фактор ПСД. Смена вендора при том же задании — иная причина, если цена выше рынка.</t>
        </is>
      </c>
      <c r="E29" s="7" t="inlineStr">
        <is>
          <t>Объем, расценка, индекс ресурсов</t>
        </is>
      </c>
    </row>
    <row r="30" ht="32" customHeight="1">
      <c r="A30" s="13" t="inlineStr">
        <is>
          <t>03.02.05</t>
        </is>
      </c>
      <c r="B30" s="16" t="inlineStr">
        <is>
          <t>Системы противопожарной защиты и прочие внутренние системы</t>
        </is>
      </c>
      <c r="C30" s="13" t="n">
        <v>3</v>
      </c>
      <c r="D30" s="7" t="inlineStr">
        <is>
          <t>Требование нового нормативного раздела без смены объекта раскрывается отдельно.</t>
        </is>
      </c>
      <c r="E30" s="7" t="inlineStr">
        <is>
          <t>Объем, расценка, индекс ресурсов</t>
        </is>
      </c>
    </row>
    <row r="31" ht="32" customHeight="1">
      <c r="A31" s="10" t="inlineStr">
        <is>
          <t>03.03</t>
        </is>
      </c>
      <c r="B31" s="15" t="inlineStr">
        <is>
          <t>Наружные инженерные сети и благоустройство</t>
        </is>
      </c>
      <c r="C31" s="10" t="n">
        <v>2</v>
      </c>
      <c r="D31" s="12" t="inlineStr">
        <is>
          <t>Плата за технологическое присоединение сидит в строке соответствующей сети и второй строкой не заводится.</t>
        </is>
      </c>
      <c r="E31" s="12" t="inlineStr">
        <is>
          <t>Объем, расценка, индекс ресурсов</t>
        </is>
      </c>
    </row>
    <row r="32" ht="32" customHeight="1">
      <c r="A32" s="13" t="inlineStr">
        <is>
          <t>03.03.01</t>
        </is>
      </c>
      <c r="B32" s="16" t="inlineStr">
        <is>
          <t>Наружные сети водоснабжения, водоотведения и ливневой канализации</t>
        </is>
      </c>
      <c r="C32" s="13" t="n">
        <v>3</v>
      </c>
      <c r="D32" s="7" t="inlineStr">
        <is>
          <t>Протяженность и диаметр — измерители фактора ПСД.</t>
        </is>
      </c>
      <c r="E32" s="7" t="inlineStr">
        <is>
          <t>Объем, расценка, индекс ресурсов</t>
        </is>
      </c>
    </row>
    <row r="33" ht="32" customHeight="1">
      <c r="A33" s="13" t="inlineStr">
        <is>
          <t>03.03.02</t>
        </is>
      </c>
      <c r="B33" s="16" t="inlineStr">
        <is>
          <t>Наружные сети теплоснабжения</t>
        </is>
      </c>
      <c r="C33" s="13" t="n">
        <v>3</v>
      </c>
      <c r="D33" s="7" t="inlineStr">
        <is>
          <t>То же для тепловой нагрузки.</t>
        </is>
      </c>
      <c r="E33" s="7" t="inlineStr">
        <is>
          <t>Объем, расценка, индекс ресурсов</t>
        </is>
      </c>
    </row>
    <row r="34" ht="32" customHeight="1">
      <c r="A34" s="13" t="inlineStr">
        <is>
          <t>03.03.03</t>
        </is>
      </c>
      <c r="B34" s="16" t="inlineStr">
        <is>
          <t>Наружное электроснабжение и трансформаторные подстанции</t>
        </is>
      </c>
      <c r="C34" s="13" t="n">
        <v>3</v>
      </c>
      <c r="D34" s="7" t="inlineStr">
        <is>
          <t>Мощность, тариф и навязанная трасса раскладываются в три разных фактора.</t>
        </is>
      </c>
      <c r="E34" s="7" t="inlineStr">
        <is>
          <t>Объем, расценка, индекс ресурсов</t>
        </is>
      </c>
    </row>
    <row r="35" ht="32" customHeight="1">
      <c r="A35" s="13" t="inlineStr">
        <is>
          <t>03.03.04</t>
        </is>
      </c>
      <c r="B35" s="16" t="inlineStr">
        <is>
          <t>Наружные сети связи</t>
        </is>
      </c>
      <c r="C35" s="13" t="n">
        <v>3</v>
      </c>
      <c r="D35" s="7" t="inlineStr">
        <is>
          <t>Не смешивать с внутренними слаботочными системами.</t>
        </is>
      </c>
      <c r="E35" s="7" t="inlineStr">
        <is>
          <t>Объем, расценка, индекс ресурсов</t>
        </is>
      </c>
    </row>
    <row r="36" ht="32" customHeight="1">
      <c r="A36" s="13" t="inlineStr">
        <is>
          <t>03.03.05</t>
        </is>
      </c>
      <c r="B36" s="16" t="inlineStr">
        <is>
          <t>Дороги, благоустройство и малые архитектурные формы</t>
        </is>
      </c>
      <c r="C36" s="13" t="n">
        <v>3</v>
      </c>
      <c r="D36" s="7" t="inlineStr">
        <is>
          <t>Сезонный перенос — иная причина, а не инфляция.</t>
        </is>
      </c>
      <c r="E36" s="7" t="inlineStr">
        <is>
          <t>Объем, расценка, индекс ресурсов</t>
        </is>
      </c>
    </row>
    <row r="37" ht="32" customHeight="1">
      <c r="A37" s="13" t="inlineStr">
        <is>
          <t>03.04</t>
        </is>
      </c>
      <c r="B37" s="14" t="inlineStr">
        <is>
          <t>Технологическое оборудование и пусконаладка</t>
        </is>
      </c>
      <c r="C37" s="13" t="n">
        <v>2</v>
      </c>
      <c r="D37" s="7" t="inlineStr">
        <is>
          <t>Не смешивать с инженерными системами здания.</t>
        </is>
      </c>
      <c r="E37" s="7" t="inlineStr">
        <is>
          <t>Объем, расценка, индекс ресурсов</t>
        </is>
      </c>
    </row>
    <row r="38" ht="32" customHeight="1">
      <c r="A38" s="10" t="inlineStr">
        <is>
          <t>04</t>
        </is>
      </c>
      <c r="B38" s="11" t="inlineStr">
        <is>
          <t>Затраты на управление проектом</t>
        </is>
      </c>
      <c r="C38" s="10" t="n">
        <v>1</v>
      </c>
      <c r="D38" s="12" t="inlineStr">
        <is>
          <t>Статья считается людьми, месяцами и процентом от уже разложенной базы.</t>
        </is>
      </c>
      <c r="E38" s="12" t="inlineStr">
        <is>
          <t>Численность, месяцы, процент от базы</t>
        </is>
      </c>
    </row>
    <row r="39" ht="32" customHeight="1">
      <c r="A39" s="13" t="inlineStr">
        <is>
          <t>04.01</t>
        </is>
      </c>
      <c r="B39" s="14" t="inlineStr">
        <is>
          <t>Служба заказчика и технический заказчик</t>
        </is>
      </c>
      <c r="C39" s="13" t="n">
        <v>2</v>
      </c>
      <c r="D39" s="7" t="inlineStr">
        <is>
          <t>Индексация исходных месяцев — инфляция. Лишние месяцы — иная причина, пока задержка не доказана изменением ПСД.</t>
        </is>
      </c>
      <c r="E39" s="7" t="inlineStr">
        <is>
          <t>Численность, месяцы, процент от базы</t>
        </is>
      </c>
    </row>
    <row r="40" ht="32" customHeight="1">
      <c r="A40" s="13" t="inlineStr">
        <is>
          <t>04.02</t>
        </is>
      </c>
      <c r="B40" s="14" t="inlineStr">
        <is>
          <t>Вознаграждение генподрядчика либо управляющего строительством</t>
        </is>
      </c>
      <c r="C40" s="13" t="n">
        <v>2</v>
      </c>
      <c r="D40" s="7" t="inlineStr">
        <is>
          <t>Процент не индексируется отдельно. Он наследует факторы базы.</t>
        </is>
      </c>
      <c r="E40" s="7" t="inlineStr">
        <is>
          <t>Численность, месяцы, процент от базы</t>
        </is>
      </c>
    </row>
    <row r="41" ht="32" customHeight="1">
      <c r="A41" s="13" t="inlineStr">
        <is>
          <t>04.03</t>
        </is>
      </c>
      <c r="B41" s="14" t="inlineStr">
        <is>
          <t>Строительный контроль, охрана труда, качество и охрана площадки</t>
        </is>
      </c>
      <c r="C41" s="13" t="n">
        <v>2</v>
      </c>
      <c r="D41" s="7" t="inlineStr">
        <is>
          <t>Охрана периода пролонгации — иная причина.</t>
        </is>
      </c>
      <c r="E41" s="7" t="inlineStr">
        <is>
          <t>Численность, месяцы, процент от базы</t>
        </is>
      </c>
    </row>
    <row r="42" ht="32" customHeight="1">
      <c r="A42" s="10" t="inlineStr">
        <is>
          <t>05</t>
        </is>
      </c>
      <c r="B42" s="11" t="inlineStr">
        <is>
          <t>Коммерческие и маркетинговые расходы</t>
        </is>
      </c>
      <c r="C42" s="10" t="n">
        <v>1</v>
      </c>
      <c r="D42" s="12" t="inlineStr">
        <is>
          <t>Дефлятор строительства к комиссии брокера не применяется. Для объекта без продаж группа может быть нулевой.</t>
        </is>
      </c>
      <c r="E42" s="12" t="inlineStr">
        <is>
          <t>Медиаплан, ставка комиссии, площадь продаж</t>
        </is>
      </c>
    </row>
    <row r="43" ht="32" customHeight="1">
      <c r="A43" s="13" t="inlineStr">
        <is>
          <t>05.01</t>
        </is>
      </c>
      <c r="B43" s="14" t="inlineStr">
        <is>
          <t>Продвижение и реклама</t>
        </is>
      </c>
      <c r="C43" s="13" t="n">
        <v>2</v>
      </c>
      <c r="D43" s="7" t="inlineStr">
        <is>
          <t>Медиаинфляция исходного плана — фактор 1. Новый канал — иная причина.</t>
        </is>
      </c>
      <c r="E43" s="7" t="inlineStr">
        <is>
          <t>Медиаплан, ставка комиссии, площадь продаж</t>
        </is>
      </c>
    </row>
    <row r="44" ht="32" customHeight="1">
      <c r="A44" s="13" t="inlineStr">
        <is>
          <t>05.02</t>
        </is>
      </c>
      <c r="B44" s="14" t="inlineStr">
        <is>
          <t>Офис продаж и демонстрационные площади</t>
        </is>
      </c>
      <c r="C44" s="13" t="n">
        <v>2</v>
      </c>
      <c r="D44" s="7" t="inlineStr">
        <is>
          <t>Связь с изменением продукта нужна, чтобы отнести затрату к ПСД.</t>
        </is>
      </c>
      <c r="E44" s="7" t="inlineStr">
        <is>
          <t>Медиаплан, ставка комиссии, площадь продаж</t>
        </is>
      </c>
    </row>
    <row r="45" ht="32" customHeight="1">
      <c r="A45" s="13" t="inlineStr">
        <is>
          <t>05.03</t>
        </is>
      </c>
      <c r="B45" s="14" t="inlineStr">
        <is>
          <t>Вознаграждение брокеров и каналов продаж</t>
        </is>
      </c>
      <c r="C45" s="13" t="n">
        <v>2</v>
      </c>
      <c r="D45" s="7" t="inlineStr">
        <is>
          <t>Рост цены продажи и ставки комиссии — иная причина. Рост площади из-за ТЭП — ПСД.</t>
        </is>
      </c>
      <c r="E45" s="7" t="inlineStr">
        <is>
          <t>Медиаплан, ставка комиссии, площадь продаж</t>
        </is>
      </c>
    </row>
    <row r="46" ht="32" customHeight="1">
      <c r="A46" s="10" t="inlineStr">
        <is>
          <t>06</t>
        </is>
      </c>
      <c r="B46" s="11" t="inlineStr">
        <is>
          <t>Финансовые и прочие затраты</t>
        </is>
      </c>
      <c r="C46" s="10" t="n">
        <v>1</v>
      </c>
      <c r="D46" s="12" t="inlineStr">
        <is>
          <t>Проценты по кредиту в группу не входят: бюджет проекта их не содержит. Резерв инфляции сюда не прячется, если инфляция уже сидит в статьях.</t>
        </is>
      </c>
      <c r="E46" s="12" t="inlineStr">
        <is>
          <t>Тариф страхования, регистр резерва, срок гарантий</t>
        </is>
      </c>
    </row>
    <row r="47" ht="32" customHeight="1">
      <c r="A47" s="13" t="inlineStr">
        <is>
          <t>06.01</t>
        </is>
      </c>
      <c r="B47" s="14" t="inlineStr">
        <is>
          <t>Страхование</t>
        </is>
      </c>
      <c r="C47" s="13" t="n">
        <v>2</v>
      </c>
      <c r="D47" s="7" t="inlineStr">
        <is>
          <t>Удорожание страховой суммы наследует факторы базы. Удлинение полиса и смена тарифа — иная причина.</t>
        </is>
      </c>
      <c r="E47" s="7" t="inlineStr">
        <is>
          <t>Тариф страхования, регистр резерва, срок гарантий</t>
        </is>
      </c>
    </row>
    <row r="48" ht="32" customHeight="1">
      <c r="A48" s="13" t="inlineStr">
        <is>
          <t>06.02</t>
        </is>
      </c>
      <c r="B48" s="14" t="inlineStr">
        <is>
          <t>Резерв непредвиденных расходов</t>
        </is>
      </c>
      <c r="C48" s="13" t="n">
        <v>2</v>
      </c>
      <c r="D48" s="7" t="inlineStr">
        <is>
          <t>Использование резерва — отрицательная сумма здесь и положительная сумма в профильной статье.</t>
        </is>
      </c>
      <c r="E48" s="7" t="inlineStr">
        <is>
          <t>Тариф страхования, регистр резерва, срок гарантий</t>
        </is>
      </c>
    </row>
    <row r="49" ht="32" customHeight="1">
      <c r="A49" s="13" t="inlineStr">
        <is>
          <t>06.03</t>
        </is>
      </c>
      <c r="B49" s="14" t="inlineStr">
        <is>
          <t>Комиссии, гарантии, обязательные платежи и консультации</t>
        </is>
      </c>
      <c r="C49" s="13" t="n">
        <v>2</v>
      </c>
      <c r="D49" s="7" t="inlineStr">
        <is>
          <t>В том числе земельные платежи периода строительства и эффект ставки НДС, если он не вынесен справочно.</t>
        </is>
      </c>
      <c r="E49" s="7" t="inlineStr">
        <is>
          <t>Тариф страхования, регистр резерва, срок гарантий</t>
        </is>
      </c>
    </row>
  </sheetData>
  <autoFilter ref="A4:E49"/>
  <mergeCells count="1">
    <mergeCell ref="A2:E2"/>
  </mergeCells>
  <pageMargins left="0.75" right="0.75" top="1" bottom="1" header="0.5" footer="0.5"/>
  <pageSetup orientation="landscape" paperSize="8" fitToHeight="1" fitToWidth="1"/>
</worksheet>
</file>

<file path=xl/worksheets/sheet3.xml><?xml version="1.0" encoding="utf-8"?>
<worksheet xmlns="http://schemas.openxmlformats.org/spreadsheetml/2006/main">
  <sheetPr>
    <tabColor rgb="000D7377"/>
    <outlinePr summaryBelow="1" summaryRight="1"/>
    <pageSetUpPr fitToPage="1"/>
  </sheetPr>
  <dimension ref="A1:O50"/>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62" customWidth="1" min="2" max="2"/>
    <col width="24" customWidth="1" min="3" max="3"/>
    <col width="28" customWidth="1" min="4" max="4"/>
    <col width="22" customWidth="1" min="5" max="5"/>
    <col width="16" customWidth="1" min="6" max="6"/>
    <col width="26" customWidth="1" min="7" max="7"/>
    <col width="30" customWidth="1" min="8" max="8"/>
    <col width="28" customWidth="1" min="9" max="9"/>
    <col width="18" customWidth="1" min="10" max="10"/>
    <col width="72" customWidth="1" min="11" max="11"/>
    <col width="16" customWidth="1" min="12" max="12"/>
    <col width="22" customWidth="1" min="13" max="13"/>
    <col width="55" customWidth="1" min="14" max="14"/>
    <col width="18" customWidth="1" min="15" max="15"/>
  </cols>
  <sheetData>
    <row r="1" ht="24" customHeight="1">
      <c r="A1" s="1" t="inlineStr">
        <is>
          <t>Шаблон постатейного факторного анализа</t>
        </is>
      </c>
    </row>
    <row r="2" ht="36" customHeight="1">
      <c r="A2" s="17" t="inlineStr">
        <is>
          <t>Единица измерения — рубль без НДС. Желтым отмечен ввод. Отклонение, процент, агрегаты и колонка «Контроль» считаются формулами. Контроль = инфляция + изменения ПСД + иные причины − отклонение и должен быть равен нулю. Сумма риска — оценка возможного нового удорожания сверх откорректированного бюджета. В контроль факторов она не входит. Агрегаты не вводятся вручную: они суммируют строки, которые стоят ниже до следующего агрегата того же или более высокого уровня.</t>
        </is>
      </c>
    </row>
    <row r="4" ht="36" customHeight="1">
      <c r="A4" s="5" t="inlineStr">
        <is>
          <t>Код</t>
        </is>
      </c>
      <c r="B4" s="5" t="inlineStr">
        <is>
          <t>Наименование статьи</t>
        </is>
      </c>
      <c r="C4" s="5" t="inlineStr">
        <is>
          <t>Базовый бюджет, руб.</t>
        </is>
      </c>
      <c r="D4" s="5" t="inlineStr">
        <is>
          <t>Откорректированный бюджет, руб.</t>
        </is>
      </c>
      <c r="E4" s="5" t="inlineStr">
        <is>
          <t>Отклонение, руб.</t>
        </is>
      </c>
      <c r="F4" s="5" t="inlineStr">
        <is>
          <t>Отклонение, %</t>
        </is>
      </c>
      <c r="G4" s="5" t="inlineStr">
        <is>
          <t>Фактор 1. Инфляция, руб.</t>
        </is>
      </c>
      <c r="H4" s="5" t="inlineStr">
        <is>
          <t>Фактор 2. Изменения ПСД, руб.</t>
        </is>
      </c>
      <c r="I4" s="5" t="inlineStr">
        <is>
          <t>Фактор 3. Иные причины, руб.</t>
        </is>
      </c>
      <c r="J4" s="5" t="inlineStr">
        <is>
          <t>Контроль, руб.</t>
        </is>
      </c>
      <c r="K4" s="5" t="inlineStr">
        <is>
          <t>Причины изменения</t>
        </is>
      </c>
      <c r="L4" s="5" t="inlineStr">
        <is>
          <t>Риск до ввода</t>
        </is>
      </c>
      <c r="M4" s="5" t="inlineStr">
        <is>
          <t>Сумма риска, руб.</t>
        </is>
      </c>
      <c r="N4" s="5" t="inlineStr">
        <is>
          <t>Комментарий к риску</t>
        </is>
      </c>
      <c r="O4" s="5" t="inlineStr">
        <is>
          <t>Класс надежности</t>
        </is>
      </c>
    </row>
    <row r="5" ht="22" customHeight="1">
      <c r="A5" s="10" t="inlineStr">
        <is>
          <t>01</t>
        </is>
      </c>
      <c r="B5" s="6" t="inlineStr">
        <is>
          <t>Подготовка строительства и земля</t>
        </is>
      </c>
      <c r="C5" s="18">
        <f>SUM(C6,C7,C8,C9)</f>
        <v/>
      </c>
      <c r="D5" s="18">
        <f>SUM(D6,D7,D8,D9)</f>
        <v/>
      </c>
      <c r="E5" s="18">
        <f>D5-C5</f>
        <v/>
      </c>
      <c r="F5" s="19">
        <f>IF(AND(C5=0,D5=0),"—",IF(C5=0,"новая статья",E5/C5))</f>
        <v/>
      </c>
      <c r="G5" s="18">
        <f>SUM(G6,G7,G8,G9)</f>
        <v/>
      </c>
      <c r="H5" s="18">
        <f>SUM(H6,H7,H8,H9)</f>
        <v/>
      </c>
      <c r="I5" s="18">
        <f>SUM(I6,I7,I8,I9)</f>
        <v/>
      </c>
      <c r="J5" s="18">
        <f>G5+H5+I5-E5</f>
        <v/>
      </c>
      <c r="K5" s="6" t="n"/>
      <c r="L5" s="10" t="n"/>
      <c r="M5" s="18">
        <f>SUM(M6,M7,M8,M9)</f>
        <v/>
      </c>
      <c r="N5" s="6" t="n"/>
      <c r="O5" s="10" t="n"/>
    </row>
    <row r="6" outlineLevel="1" ht="22" customHeight="1">
      <c r="A6" s="13" t="inlineStr">
        <is>
          <t>01.01</t>
        </is>
      </c>
      <c r="B6" s="14" t="inlineStr">
        <is>
          <t>Градостроительная подготовка и права на земельный участок</t>
        </is>
      </c>
      <c r="C6" s="20" t="n"/>
      <c r="D6" s="20" t="n"/>
      <c r="E6" s="21">
        <f>D6-C6</f>
        <v/>
      </c>
      <c r="F6" s="22">
        <f>IF(AND(C6=0,D6=0),"—",IF(C6=0,"новая статья",E6/C6))</f>
        <v/>
      </c>
      <c r="G6" s="20" t="n"/>
      <c r="H6" s="20" t="n"/>
      <c r="I6" s="20" t="n"/>
      <c r="J6" s="21">
        <f>G6+H6+I6-E6</f>
        <v/>
      </c>
      <c r="K6" s="23" t="n"/>
      <c r="L6" s="24" t="n"/>
      <c r="M6" s="20" t="n"/>
      <c r="N6" s="23" t="n"/>
      <c r="O6" s="24" t="n"/>
    </row>
    <row r="7" outlineLevel="1" ht="22" customHeight="1">
      <c r="A7" s="13" t="inlineStr">
        <is>
          <t>01.02</t>
        </is>
      </c>
      <c r="B7" s="14" t="inlineStr">
        <is>
          <t>Освобождение территории, снос и перенос существующих сетей</t>
        </is>
      </c>
      <c r="C7" s="20" t="n"/>
      <c r="D7" s="20" t="n"/>
      <c r="E7" s="21">
        <f>D7-C7</f>
        <v/>
      </c>
      <c r="F7" s="22">
        <f>IF(AND(C7=0,D7=0),"—",IF(C7=0,"новая статья",E7/C7))</f>
        <v/>
      </c>
      <c r="G7" s="20" t="n"/>
      <c r="H7" s="20" t="n"/>
      <c r="I7" s="20" t="n"/>
      <c r="J7" s="21">
        <f>G7+H7+I7-E7</f>
        <v/>
      </c>
      <c r="K7" s="23" t="n"/>
      <c r="L7" s="24" t="n"/>
      <c r="M7" s="20" t="n"/>
      <c r="N7" s="23" t="n"/>
      <c r="O7" s="24" t="n"/>
    </row>
    <row r="8" outlineLevel="1" ht="22" customHeight="1">
      <c r="A8" s="13" t="inlineStr">
        <is>
          <t>01.03</t>
        </is>
      </c>
      <c r="B8" s="14" t="inlineStr">
        <is>
          <t>Земляные работы, котлован, крепление и водопонижение</t>
        </is>
      </c>
      <c r="C8" s="20" t="n"/>
      <c r="D8" s="20" t="n"/>
      <c r="E8" s="21">
        <f>D8-C8</f>
        <v/>
      </c>
      <c r="F8" s="22">
        <f>IF(AND(C8=0,D8=0),"—",IF(C8=0,"новая статья",E8/C8))</f>
        <v/>
      </c>
      <c r="G8" s="20" t="n"/>
      <c r="H8" s="20" t="n"/>
      <c r="I8" s="20" t="n"/>
      <c r="J8" s="21">
        <f>G8+H8+I8-E8</f>
        <v/>
      </c>
      <c r="K8" s="23" t="n"/>
      <c r="L8" s="24" t="n"/>
      <c r="M8" s="20" t="n"/>
      <c r="N8" s="23" t="n"/>
      <c r="O8" s="24" t="n"/>
    </row>
    <row r="9" outlineLevel="1" ht="22" customHeight="1">
      <c r="A9" s="13" t="inlineStr">
        <is>
          <t>01.04</t>
        </is>
      </c>
      <c r="B9" s="14" t="inlineStr">
        <is>
          <t>Временная строительная инфраструктура площадки</t>
        </is>
      </c>
      <c r="C9" s="20" t="n"/>
      <c r="D9" s="20" t="n"/>
      <c r="E9" s="21">
        <f>D9-C9</f>
        <v/>
      </c>
      <c r="F9" s="22">
        <f>IF(AND(C9=0,D9=0),"—",IF(C9=0,"новая статья",E9/C9))</f>
        <v/>
      </c>
      <c r="G9" s="20" t="n"/>
      <c r="H9" s="20" t="n"/>
      <c r="I9" s="20" t="n"/>
      <c r="J9" s="21">
        <f>G9+H9+I9-E9</f>
        <v/>
      </c>
      <c r="K9" s="23" t="n"/>
      <c r="L9" s="24" t="n"/>
      <c r="M9" s="20" t="n"/>
      <c r="N9" s="23" t="n"/>
      <c r="O9" s="24" t="n"/>
    </row>
    <row r="10" ht="22" customHeight="1">
      <c r="A10" s="10" t="inlineStr">
        <is>
          <t>02</t>
        </is>
      </c>
      <c r="B10" s="6" t="inlineStr">
        <is>
          <t>Проектно-изыскательские работы и авторский надзор</t>
        </is>
      </c>
      <c r="C10" s="18">
        <f>SUM(C11,C12,C13,C14,C15)</f>
        <v/>
      </c>
      <c r="D10" s="18">
        <f>SUM(D11,D12,D13,D14,D15)</f>
        <v/>
      </c>
      <c r="E10" s="18">
        <f>D10-C10</f>
        <v/>
      </c>
      <c r="F10" s="19">
        <f>IF(AND(C10=0,D10=0),"—",IF(C10=0,"новая статья",E10/C10))</f>
        <v/>
      </c>
      <c r="G10" s="18">
        <f>SUM(G11,G12,G13,G14,G15)</f>
        <v/>
      </c>
      <c r="H10" s="18">
        <f>SUM(H11,H12,H13,H14,H15)</f>
        <v/>
      </c>
      <c r="I10" s="18">
        <f>SUM(I11,I12,I13,I14,I15)</f>
        <v/>
      </c>
      <c r="J10" s="18">
        <f>G10+H10+I10-E10</f>
        <v/>
      </c>
      <c r="K10" s="6" t="n"/>
      <c r="L10" s="10" t="n"/>
      <c r="M10" s="18">
        <f>SUM(M11,M12,M13,M14,M15)</f>
        <v/>
      </c>
      <c r="N10" s="6" t="n"/>
      <c r="O10" s="10" t="n"/>
    </row>
    <row r="11" outlineLevel="1" ht="22" customHeight="1">
      <c r="A11" s="13" t="inlineStr">
        <is>
          <t>02.01</t>
        </is>
      </c>
      <c r="B11" s="14" t="inlineStr">
        <is>
          <t>Инженерные изыскания</t>
        </is>
      </c>
      <c r="C11" s="20" t="n"/>
      <c r="D11" s="20" t="n"/>
      <c r="E11" s="21">
        <f>D11-C11</f>
        <v/>
      </c>
      <c r="F11" s="22">
        <f>IF(AND(C11=0,D11=0),"—",IF(C11=0,"новая статья",E11/C11))</f>
        <v/>
      </c>
      <c r="G11" s="20" t="n"/>
      <c r="H11" s="20" t="n"/>
      <c r="I11" s="20" t="n"/>
      <c r="J11" s="21">
        <f>G11+H11+I11-E11</f>
        <v/>
      </c>
      <c r="K11" s="23" t="n"/>
      <c r="L11" s="24" t="n"/>
      <c r="M11" s="20" t="n"/>
      <c r="N11" s="23" t="n"/>
      <c r="O11" s="24" t="n"/>
    </row>
    <row r="12" outlineLevel="1" ht="22" customHeight="1">
      <c r="A12" s="13" t="inlineStr">
        <is>
          <t>02.02</t>
        </is>
      </c>
      <c r="B12" s="14" t="inlineStr">
        <is>
          <t>Проектная документация</t>
        </is>
      </c>
      <c r="C12" s="20" t="n"/>
      <c r="D12" s="20" t="n"/>
      <c r="E12" s="21">
        <f>D12-C12</f>
        <v/>
      </c>
      <c r="F12" s="22">
        <f>IF(AND(C12=0,D12=0),"—",IF(C12=0,"новая статья",E12/C12))</f>
        <v/>
      </c>
      <c r="G12" s="20" t="n"/>
      <c r="H12" s="20" t="n"/>
      <c r="I12" s="20" t="n"/>
      <c r="J12" s="21">
        <f>G12+H12+I12-E12</f>
        <v/>
      </c>
      <c r="K12" s="23" t="n"/>
      <c r="L12" s="24" t="n"/>
      <c r="M12" s="20" t="n"/>
      <c r="N12" s="23" t="n"/>
      <c r="O12" s="24" t="n"/>
    </row>
    <row r="13" outlineLevel="1" ht="22" customHeight="1">
      <c r="A13" s="13" t="inlineStr">
        <is>
          <t>02.03</t>
        </is>
      </c>
      <c r="B13" s="14" t="inlineStr">
        <is>
          <t>Рабочая документация</t>
        </is>
      </c>
      <c r="C13" s="20" t="n"/>
      <c r="D13" s="20" t="n"/>
      <c r="E13" s="21">
        <f>D13-C13</f>
        <v/>
      </c>
      <c r="F13" s="22">
        <f>IF(AND(C13=0,D13=0),"—",IF(C13=0,"новая статья",E13/C13))</f>
        <v/>
      </c>
      <c r="G13" s="20" t="n"/>
      <c r="H13" s="20" t="n"/>
      <c r="I13" s="20" t="n"/>
      <c r="J13" s="21">
        <f>G13+H13+I13-E13</f>
        <v/>
      </c>
      <c r="K13" s="23" t="n"/>
      <c r="L13" s="24" t="n"/>
      <c r="M13" s="20" t="n"/>
      <c r="N13" s="23" t="n"/>
      <c r="O13" s="24" t="n"/>
    </row>
    <row r="14" outlineLevel="1" ht="22" customHeight="1">
      <c r="A14" s="13" t="inlineStr">
        <is>
          <t>02.04</t>
        </is>
      </c>
      <c r="B14" s="14" t="inlineStr">
        <is>
          <t>Экспертиза проектной документации и результатов изысканий</t>
        </is>
      </c>
      <c r="C14" s="20" t="n"/>
      <c r="D14" s="20" t="n"/>
      <c r="E14" s="21">
        <f>D14-C14</f>
        <v/>
      </c>
      <c r="F14" s="22">
        <f>IF(AND(C14=0,D14=0),"—",IF(C14=0,"новая статья",E14/C14))</f>
        <v/>
      </c>
      <c r="G14" s="20" t="n"/>
      <c r="H14" s="20" t="n"/>
      <c r="I14" s="20" t="n"/>
      <c r="J14" s="21">
        <f>G14+H14+I14-E14</f>
        <v/>
      </c>
      <c r="K14" s="23" t="n"/>
      <c r="L14" s="24" t="n"/>
      <c r="M14" s="20" t="n"/>
      <c r="N14" s="23" t="n"/>
      <c r="O14" s="24" t="n"/>
    </row>
    <row r="15" outlineLevel="1" ht="22" customHeight="1">
      <c r="A15" s="13" t="inlineStr">
        <is>
          <t>02.05</t>
        </is>
      </c>
      <c r="B15" s="14" t="inlineStr">
        <is>
          <t>Авторский надзор</t>
        </is>
      </c>
      <c r="C15" s="20" t="n"/>
      <c r="D15" s="20" t="n"/>
      <c r="E15" s="21">
        <f>D15-C15</f>
        <v/>
      </c>
      <c r="F15" s="22">
        <f>IF(AND(C15=0,D15=0),"—",IF(C15=0,"новая статья",E15/C15))</f>
        <v/>
      </c>
      <c r="G15" s="20" t="n"/>
      <c r="H15" s="20" t="n"/>
      <c r="I15" s="20" t="n"/>
      <c r="J15" s="21">
        <f>G15+H15+I15-E15</f>
        <v/>
      </c>
      <c r="K15" s="23" t="n"/>
      <c r="L15" s="24" t="n"/>
      <c r="M15" s="20" t="n"/>
      <c r="N15" s="23" t="n"/>
      <c r="O15" s="24" t="n"/>
    </row>
    <row r="16" ht="22" customHeight="1">
      <c r="A16" s="10" t="inlineStr">
        <is>
          <t>03</t>
        </is>
      </c>
      <c r="B16" s="6" t="inlineStr">
        <is>
          <t>Строительно-монтажные работы</t>
        </is>
      </c>
      <c r="C16" s="18">
        <f>SUM(C17,C25,C31,C37)</f>
        <v/>
      </c>
      <c r="D16" s="18">
        <f>SUM(D17,D25,D31,D37)</f>
        <v/>
      </c>
      <c r="E16" s="18">
        <f>D16-C16</f>
        <v/>
      </c>
      <c r="F16" s="19">
        <f>IF(AND(C16=0,D16=0),"—",IF(C16=0,"новая статья",E16/C16))</f>
        <v/>
      </c>
      <c r="G16" s="18">
        <f>SUM(G17,G25,G31,G37)</f>
        <v/>
      </c>
      <c r="H16" s="18">
        <f>SUM(H17,H25,H31,H37)</f>
        <v/>
      </c>
      <c r="I16" s="18">
        <f>SUM(I17,I25,I31,I37)</f>
        <v/>
      </c>
      <c r="J16" s="18">
        <f>G16+H16+I16-E16</f>
        <v/>
      </c>
      <c r="K16" s="6" t="n"/>
      <c r="L16" s="10" t="n"/>
      <c r="M16" s="18">
        <f>SUM(M17,M25,M31,M37)</f>
        <v/>
      </c>
      <c r="N16" s="6" t="n"/>
      <c r="O16" s="10" t="n"/>
    </row>
    <row r="17" outlineLevel="1" ht="22" customHeight="1">
      <c r="A17" s="10" t="inlineStr">
        <is>
          <t>03.01</t>
        </is>
      </c>
      <c r="B17" s="15" t="inlineStr">
        <is>
          <t>Общестроительные работы и конструктив</t>
        </is>
      </c>
      <c r="C17" s="18">
        <f>SUM(C18,C19,C20,C21,C22,C23,C24)</f>
        <v/>
      </c>
      <c r="D17" s="18">
        <f>SUM(D18,D19,D20,D21,D22,D23,D24)</f>
        <v/>
      </c>
      <c r="E17" s="18">
        <f>D17-C17</f>
        <v/>
      </c>
      <c r="F17" s="19">
        <f>IF(AND(C17=0,D17=0),"—",IF(C17=0,"новая статья",E17/C17))</f>
        <v/>
      </c>
      <c r="G17" s="18">
        <f>SUM(G18,G19,G20,G21,G22,G23,G24)</f>
        <v/>
      </c>
      <c r="H17" s="18">
        <f>SUM(H18,H19,H20,H21,H22,H23,H24)</f>
        <v/>
      </c>
      <c r="I17" s="18">
        <f>SUM(I18,I19,I20,I21,I22,I23,I24)</f>
        <v/>
      </c>
      <c r="J17" s="18">
        <f>G17+H17+I17-E17</f>
        <v/>
      </c>
      <c r="K17" s="6" t="n"/>
      <c r="L17" s="10" t="n"/>
      <c r="M17" s="18">
        <f>SUM(M18,M19,M20,M21,M22,M23,M24)</f>
        <v/>
      </c>
      <c r="N17" s="6" t="n"/>
      <c r="O17" s="10" t="n"/>
    </row>
    <row r="18" outlineLevel="2" ht="22" customHeight="1">
      <c r="A18" s="13" t="inlineStr">
        <is>
          <t>03.01.01</t>
        </is>
      </c>
      <c r="B18" s="16" t="inlineStr">
        <is>
          <t>Фундаменты и подземная часть</t>
        </is>
      </c>
      <c r="C18" s="20" t="n"/>
      <c r="D18" s="20" t="n"/>
      <c r="E18" s="21">
        <f>D18-C18</f>
        <v/>
      </c>
      <c r="F18" s="22">
        <f>IF(AND(C18=0,D18=0),"—",IF(C18=0,"новая статья",E18/C18))</f>
        <v/>
      </c>
      <c r="G18" s="20" t="n"/>
      <c r="H18" s="20" t="n"/>
      <c r="I18" s="20" t="n"/>
      <c r="J18" s="21">
        <f>G18+H18+I18-E18</f>
        <v/>
      </c>
      <c r="K18" s="23" t="n"/>
      <c r="L18" s="24" t="n"/>
      <c r="M18" s="20" t="n"/>
      <c r="N18" s="23" t="n"/>
      <c r="O18" s="24" t="n"/>
    </row>
    <row r="19" outlineLevel="2" ht="22" customHeight="1">
      <c r="A19" s="13" t="inlineStr">
        <is>
          <t>03.01.02</t>
        </is>
      </c>
      <c r="B19" s="16" t="inlineStr">
        <is>
          <t>Несущий каркас</t>
        </is>
      </c>
      <c r="C19" s="20" t="n"/>
      <c r="D19" s="20" t="n"/>
      <c r="E19" s="21">
        <f>D19-C19</f>
        <v/>
      </c>
      <c r="F19" s="22">
        <f>IF(AND(C19=0,D19=0),"—",IF(C19=0,"новая статья",E19/C19))</f>
        <v/>
      </c>
      <c r="G19" s="20" t="n"/>
      <c r="H19" s="20" t="n"/>
      <c r="I19" s="20" t="n"/>
      <c r="J19" s="21">
        <f>G19+H19+I19-E19</f>
        <v/>
      </c>
      <c r="K19" s="23" t="n"/>
      <c r="L19" s="24" t="n"/>
      <c r="M19" s="20" t="n"/>
      <c r="N19" s="23" t="n"/>
      <c r="O19" s="24" t="n"/>
    </row>
    <row r="20" outlineLevel="2" ht="22" customHeight="1">
      <c r="A20" s="13" t="inlineStr">
        <is>
          <t>03.01.03</t>
        </is>
      </c>
      <c r="B20" s="16" t="inlineStr">
        <is>
          <t>Стены и перегородки</t>
        </is>
      </c>
      <c r="C20" s="20" t="n"/>
      <c r="D20" s="20" t="n"/>
      <c r="E20" s="21">
        <f>D20-C20</f>
        <v/>
      </c>
      <c r="F20" s="22">
        <f>IF(AND(C20=0,D20=0),"—",IF(C20=0,"новая статья",E20/C20))</f>
        <v/>
      </c>
      <c r="G20" s="20" t="n"/>
      <c r="H20" s="20" t="n"/>
      <c r="I20" s="20" t="n"/>
      <c r="J20" s="21">
        <f>G20+H20+I20-E20</f>
        <v/>
      </c>
      <c r="K20" s="23" t="n"/>
      <c r="L20" s="24" t="n"/>
      <c r="M20" s="20" t="n"/>
      <c r="N20" s="23" t="n"/>
      <c r="O20" s="24" t="n"/>
    </row>
    <row r="21" outlineLevel="2" ht="22" customHeight="1">
      <c r="A21" s="13" t="inlineStr">
        <is>
          <t>03.01.04</t>
        </is>
      </c>
      <c r="B21" s="16" t="inlineStr">
        <is>
          <t>Фасады и кровля</t>
        </is>
      </c>
      <c r="C21" s="20" t="n"/>
      <c r="D21" s="20" t="n"/>
      <c r="E21" s="21">
        <f>D21-C21</f>
        <v/>
      </c>
      <c r="F21" s="22">
        <f>IF(AND(C21=0,D21=0),"—",IF(C21=0,"новая статья",E21/C21))</f>
        <v/>
      </c>
      <c r="G21" s="20" t="n"/>
      <c r="H21" s="20" t="n"/>
      <c r="I21" s="20" t="n"/>
      <c r="J21" s="21">
        <f>G21+H21+I21-E21</f>
        <v/>
      </c>
      <c r="K21" s="23" t="n"/>
      <c r="L21" s="24" t="n"/>
      <c r="M21" s="20" t="n"/>
      <c r="N21" s="23" t="n"/>
      <c r="O21" s="24" t="n"/>
    </row>
    <row r="22" outlineLevel="2" ht="22" customHeight="1">
      <c r="A22" s="13" t="inlineStr">
        <is>
          <t>03.01.05</t>
        </is>
      </c>
      <c r="B22" s="16" t="inlineStr">
        <is>
          <t>Окна, двери и светопрозрачные конструкции</t>
        </is>
      </c>
      <c r="C22" s="20" t="n"/>
      <c r="D22" s="20" t="n"/>
      <c r="E22" s="21">
        <f>D22-C22</f>
        <v/>
      </c>
      <c r="F22" s="22">
        <f>IF(AND(C22=0,D22=0),"—",IF(C22=0,"новая статья",E22/C22))</f>
        <v/>
      </c>
      <c r="G22" s="20" t="n"/>
      <c r="H22" s="20" t="n"/>
      <c r="I22" s="20" t="n"/>
      <c r="J22" s="21">
        <f>G22+H22+I22-E22</f>
        <v/>
      </c>
      <c r="K22" s="23" t="n"/>
      <c r="L22" s="24" t="n"/>
      <c r="M22" s="20" t="n"/>
      <c r="N22" s="23" t="n"/>
      <c r="O22" s="24" t="n"/>
    </row>
    <row r="23" outlineLevel="2" ht="22" customHeight="1">
      <c r="A23" s="13" t="inlineStr">
        <is>
          <t>03.01.06</t>
        </is>
      </c>
      <c r="B23" s="16" t="inlineStr">
        <is>
          <t>Внутренняя черновая отделка</t>
        </is>
      </c>
      <c r="C23" s="20" t="n"/>
      <c r="D23" s="20" t="n"/>
      <c r="E23" s="21">
        <f>D23-C23</f>
        <v/>
      </c>
      <c r="F23" s="22">
        <f>IF(AND(C23=0,D23=0),"—",IF(C23=0,"новая статья",E23/C23))</f>
        <v/>
      </c>
      <c r="G23" s="20" t="n"/>
      <c r="H23" s="20" t="n"/>
      <c r="I23" s="20" t="n"/>
      <c r="J23" s="21">
        <f>G23+H23+I23-E23</f>
        <v/>
      </c>
      <c r="K23" s="23" t="n"/>
      <c r="L23" s="24" t="n"/>
      <c r="M23" s="20" t="n"/>
      <c r="N23" s="23" t="n"/>
      <c r="O23" s="24" t="n"/>
    </row>
    <row r="24" outlineLevel="2" ht="22" customHeight="1">
      <c r="A24" s="13" t="inlineStr">
        <is>
          <t>03.01.07</t>
        </is>
      </c>
      <c r="B24" s="16" t="inlineStr">
        <is>
          <t>Лифты и подъемное оборудование</t>
        </is>
      </c>
      <c r="C24" s="20" t="n"/>
      <c r="D24" s="20" t="n"/>
      <c r="E24" s="21">
        <f>D24-C24</f>
        <v/>
      </c>
      <c r="F24" s="22">
        <f>IF(AND(C24=0,D24=0),"—",IF(C24=0,"новая статья",E24/C24))</f>
        <v/>
      </c>
      <c r="G24" s="20" t="n"/>
      <c r="H24" s="20" t="n"/>
      <c r="I24" s="20" t="n"/>
      <c r="J24" s="21">
        <f>G24+H24+I24-E24</f>
        <v/>
      </c>
      <c r="K24" s="23" t="n"/>
      <c r="L24" s="24" t="n"/>
      <c r="M24" s="20" t="n"/>
      <c r="N24" s="23" t="n"/>
      <c r="O24" s="24" t="n"/>
    </row>
    <row r="25" outlineLevel="1" ht="22" customHeight="1">
      <c r="A25" s="10" t="inlineStr">
        <is>
          <t>03.02</t>
        </is>
      </c>
      <c r="B25" s="15" t="inlineStr">
        <is>
          <t>Внутренние инженерные системы</t>
        </is>
      </c>
      <c r="C25" s="18">
        <f>SUM(C26,C27,C28,C29,C30)</f>
        <v/>
      </c>
      <c r="D25" s="18">
        <f>SUM(D26,D27,D28,D29,D30)</f>
        <v/>
      </c>
      <c r="E25" s="18">
        <f>D25-C25</f>
        <v/>
      </c>
      <c r="F25" s="19">
        <f>IF(AND(C25=0,D25=0),"—",IF(C25=0,"новая статья",E25/C25))</f>
        <v/>
      </c>
      <c r="G25" s="18">
        <f>SUM(G26,G27,G28,G29,G30)</f>
        <v/>
      </c>
      <c r="H25" s="18">
        <f>SUM(H26,H27,H28,H29,H30)</f>
        <v/>
      </c>
      <c r="I25" s="18">
        <f>SUM(I26,I27,I28,I29,I30)</f>
        <v/>
      </c>
      <c r="J25" s="18">
        <f>G25+H25+I25-E25</f>
        <v/>
      </c>
      <c r="K25" s="6" t="n"/>
      <c r="L25" s="10" t="n"/>
      <c r="M25" s="18">
        <f>SUM(M26,M27,M28,M29,M30)</f>
        <v/>
      </c>
      <c r="N25" s="6" t="n"/>
      <c r="O25" s="10" t="n"/>
    </row>
    <row r="26" outlineLevel="2" ht="22" customHeight="1">
      <c r="A26" s="13" t="inlineStr">
        <is>
          <t>03.02.01</t>
        </is>
      </c>
      <c r="B26" s="16" t="inlineStr">
        <is>
          <t>Отопление, вентиляция и кондиционирование</t>
        </is>
      </c>
      <c r="C26" s="20" t="n"/>
      <c r="D26" s="20" t="n"/>
      <c r="E26" s="21">
        <f>D26-C26</f>
        <v/>
      </c>
      <c r="F26" s="22">
        <f>IF(AND(C26=0,D26=0),"—",IF(C26=0,"новая статья",E26/C26))</f>
        <v/>
      </c>
      <c r="G26" s="20" t="n"/>
      <c r="H26" s="20" t="n"/>
      <c r="I26" s="20" t="n"/>
      <c r="J26" s="21">
        <f>G26+H26+I26-E26</f>
        <v/>
      </c>
      <c r="K26" s="23" t="n"/>
      <c r="L26" s="24" t="n"/>
      <c r="M26" s="20" t="n"/>
      <c r="N26" s="23" t="n"/>
      <c r="O26" s="24" t="n"/>
    </row>
    <row r="27" outlineLevel="2" ht="22" customHeight="1">
      <c r="A27" s="13" t="inlineStr">
        <is>
          <t>03.02.02</t>
        </is>
      </c>
      <c r="B27" s="16" t="inlineStr">
        <is>
          <t>Водоснабжение и водоотведение</t>
        </is>
      </c>
      <c r="C27" s="20" t="n"/>
      <c r="D27" s="20" t="n"/>
      <c r="E27" s="21">
        <f>D27-C27</f>
        <v/>
      </c>
      <c r="F27" s="22">
        <f>IF(AND(C27=0,D27=0),"—",IF(C27=0,"новая статья",E27/C27))</f>
        <v/>
      </c>
      <c r="G27" s="20" t="n"/>
      <c r="H27" s="20" t="n"/>
      <c r="I27" s="20" t="n"/>
      <c r="J27" s="21">
        <f>G27+H27+I27-E27</f>
        <v/>
      </c>
      <c r="K27" s="23" t="n"/>
      <c r="L27" s="24" t="n"/>
      <c r="M27" s="20" t="n"/>
      <c r="N27" s="23" t="n"/>
      <c r="O27" s="24" t="n"/>
    </row>
    <row r="28" outlineLevel="2" ht="22" customHeight="1">
      <c r="A28" s="13" t="inlineStr">
        <is>
          <t>03.02.03</t>
        </is>
      </c>
      <c r="B28" s="16" t="inlineStr">
        <is>
          <t>Электрооборудование, электроосвещение и молниезащита</t>
        </is>
      </c>
      <c r="C28" s="20" t="n"/>
      <c r="D28" s="20" t="n"/>
      <c r="E28" s="21">
        <f>D28-C28</f>
        <v/>
      </c>
      <c r="F28" s="22">
        <f>IF(AND(C28=0,D28=0),"—",IF(C28=0,"новая статья",E28/C28))</f>
        <v/>
      </c>
      <c r="G28" s="20" t="n"/>
      <c r="H28" s="20" t="n"/>
      <c r="I28" s="20" t="n"/>
      <c r="J28" s="21">
        <f>G28+H28+I28-E28</f>
        <v/>
      </c>
      <c r="K28" s="23" t="n"/>
      <c r="L28" s="24" t="n"/>
      <c r="M28" s="20" t="n"/>
      <c r="N28" s="23" t="n"/>
      <c r="O28" s="24" t="n"/>
    </row>
    <row r="29" outlineLevel="2" ht="22" customHeight="1">
      <c r="A29" s="13" t="inlineStr">
        <is>
          <t>03.02.04</t>
        </is>
      </c>
      <c r="B29" s="16" t="inlineStr">
        <is>
          <t>Сети связи, АПС, СОУЭ, СКУД, автоматизация и диспетчеризация</t>
        </is>
      </c>
      <c r="C29" s="20" t="n"/>
      <c r="D29" s="20" t="n"/>
      <c r="E29" s="21">
        <f>D29-C29</f>
        <v/>
      </c>
      <c r="F29" s="22">
        <f>IF(AND(C29=0,D29=0),"—",IF(C29=0,"новая статья",E29/C29))</f>
        <v/>
      </c>
      <c r="G29" s="20" t="n"/>
      <c r="H29" s="20" t="n"/>
      <c r="I29" s="20" t="n"/>
      <c r="J29" s="21">
        <f>G29+H29+I29-E29</f>
        <v/>
      </c>
      <c r="K29" s="23" t="n"/>
      <c r="L29" s="24" t="n"/>
      <c r="M29" s="20" t="n"/>
      <c r="N29" s="23" t="n"/>
      <c r="O29" s="24" t="n"/>
    </row>
    <row r="30" outlineLevel="2" ht="22" customHeight="1">
      <c r="A30" s="13" t="inlineStr">
        <is>
          <t>03.02.05</t>
        </is>
      </c>
      <c r="B30" s="16" t="inlineStr">
        <is>
          <t>Системы противопожарной защиты и прочие внутренние системы</t>
        </is>
      </c>
      <c r="C30" s="20" t="n"/>
      <c r="D30" s="20" t="n"/>
      <c r="E30" s="21">
        <f>D30-C30</f>
        <v/>
      </c>
      <c r="F30" s="22">
        <f>IF(AND(C30=0,D30=0),"—",IF(C30=0,"новая статья",E30/C30))</f>
        <v/>
      </c>
      <c r="G30" s="20" t="n"/>
      <c r="H30" s="20" t="n"/>
      <c r="I30" s="20" t="n"/>
      <c r="J30" s="21">
        <f>G30+H30+I30-E30</f>
        <v/>
      </c>
      <c r="K30" s="23" t="n"/>
      <c r="L30" s="24" t="n"/>
      <c r="M30" s="20" t="n"/>
      <c r="N30" s="23" t="n"/>
      <c r="O30" s="24" t="n"/>
    </row>
    <row r="31" outlineLevel="1" ht="22" customHeight="1">
      <c r="A31" s="10" t="inlineStr">
        <is>
          <t>03.03</t>
        </is>
      </c>
      <c r="B31" s="15" t="inlineStr">
        <is>
          <t>Наружные инженерные сети и благоустройство</t>
        </is>
      </c>
      <c r="C31" s="18">
        <f>SUM(C32,C33,C34,C35,C36)</f>
        <v/>
      </c>
      <c r="D31" s="18">
        <f>SUM(D32,D33,D34,D35,D36)</f>
        <v/>
      </c>
      <c r="E31" s="18">
        <f>D31-C31</f>
        <v/>
      </c>
      <c r="F31" s="19">
        <f>IF(AND(C31=0,D31=0),"—",IF(C31=0,"новая статья",E31/C31))</f>
        <v/>
      </c>
      <c r="G31" s="18">
        <f>SUM(G32,G33,G34,G35,G36)</f>
        <v/>
      </c>
      <c r="H31" s="18">
        <f>SUM(H32,H33,H34,H35,H36)</f>
        <v/>
      </c>
      <c r="I31" s="18">
        <f>SUM(I32,I33,I34,I35,I36)</f>
        <v/>
      </c>
      <c r="J31" s="18">
        <f>G31+H31+I31-E31</f>
        <v/>
      </c>
      <c r="K31" s="6" t="n"/>
      <c r="L31" s="10" t="n"/>
      <c r="M31" s="18">
        <f>SUM(M32,M33,M34,M35,M36)</f>
        <v/>
      </c>
      <c r="N31" s="6" t="n"/>
      <c r="O31" s="10" t="n"/>
    </row>
    <row r="32" outlineLevel="2" ht="22" customHeight="1">
      <c r="A32" s="13" t="inlineStr">
        <is>
          <t>03.03.01</t>
        </is>
      </c>
      <c r="B32" s="16" t="inlineStr">
        <is>
          <t>Наружные сети водоснабжения, водоотведения и ливневой канализации</t>
        </is>
      </c>
      <c r="C32" s="20" t="n"/>
      <c r="D32" s="20" t="n"/>
      <c r="E32" s="21">
        <f>D32-C32</f>
        <v/>
      </c>
      <c r="F32" s="22">
        <f>IF(AND(C32=0,D32=0),"—",IF(C32=0,"новая статья",E32/C32))</f>
        <v/>
      </c>
      <c r="G32" s="20" t="n"/>
      <c r="H32" s="20" t="n"/>
      <c r="I32" s="20" t="n"/>
      <c r="J32" s="21">
        <f>G32+H32+I32-E32</f>
        <v/>
      </c>
      <c r="K32" s="23" t="n"/>
      <c r="L32" s="24" t="n"/>
      <c r="M32" s="20" t="n"/>
      <c r="N32" s="23" t="n"/>
      <c r="O32" s="24" t="n"/>
    </row>
    <row r="33" outlineLevel="2" ht="22" customHeight="1">
      <c r="A33" s="13" t="inlineStr">
        <is>
          <t>03.03.02</t>
        </is>
      </c>
      <c r="B33" s="16" t="inlineStr">
        <is>
          <t>Наружные сети теплоснабжения</t>
        </is>
      </c>
      <c r="C33" s="20" t="n"/>
      <c r="D33" s="20" t="n"/>
      <c r="E33" s="21">
        <f>D33-C33</f>
        <v/>
      </c>
      <c r="F33" s="22">
        <f>IF(AND(C33=0,D33=0),"—",IF(C33=0,"новая статья",E33/C33))</f>
        <v/>
      </c>
      <c r="G33" s="20" t="n"/>
      <c r="H33" s="20" t="n"/>
      <c r="I33" s="20" t="n"/>
      <c r="J33" s="21">
        <f>G33+H33+I33-E33</f>
        <v/>
      </c>
      <c r="K33" s="23" t="n"/>
      <c r="L33" s="24" t="n"/>
      <c r="M33" s="20" t="n"/>
      <c r="N33" s="23" t="n"/>
      <c r="O33" s="24" t="n"/>
    </row>
    <row r="34" outlineLevel="2" ht="22" customHeight="1">
      <c r="A34" s="13" t="inlineStr">
        <is>
          <t>03.03.03</t>
        </is>
      </c>
      <c r="B34" s="16" t="inlineStr">
        <is>
          <t>Наружное электроснабжение и трансформаторные подстанции</t>
        </is>
      </c>
      <c r="C34" s="20" t="n"/>
      <c r="D34" s="20" t="n"/>
      <c r="E34" s="21">
        <f>D34-C34</f>
        <v/>
      </c>
      <c r="F34" s="22">
        <f>IF(AND(C34=0,D34=0),"—",IF(C34=0,"новая статья",E34/C34))</f>
        <v/>
      </c>
      <c r="G34" s="20" t="n"/>
      <c r="H34" s="20" t="n"/>
      <c r="I34" s="20" t="n"/>
      <c r="J34" s="21">
        <f>G34+H34+I34-E34</f>
        <v/>
      </c>
      <c r="K34" s="23" t="n"/>
      <c r="L34" s="24" t="n"/>
      <c r="M34" s="20" t="n"/>
      <c r="N34" s="23" t="n"/>
      <c r="O34" s="24" t="n"/>
    </row>
    <row r="35" outlineLevel="2" ht="22" customHeight="1">
      <c r="A35" s="13" t="inlineStr">
        <is>
          <t>03.03.04</t>
        </is>
      </c>
      <c r="B35" s="16" t="inlineStr">
        <is>
          <t>Наружные сети связи</t>
        </is>
      </c>
      <c r="C35" s="20" t="n"/>
      <c r="D35" s="20" t="n"/>
      <c r="E35" s="21">
        <f>D35-C35</f>
        <v/>
      </c>
      <c r="F35" s="22">
        <f>IF(AND(C35=0,D35=0),"—",IF(C35=0,"новая статья",E35/C35))</f>
        <v/>
      </c>
      <c r="G35" s="20" t="n"/>
      <c r="H35" s="20" t="n"/>
      <c r="I35" s="20" t="n"/>
      <c r="J35" s="21">
        <f>G35+H35+I35-E35</f>
        <v/>
      </c>
      <c r="K35" s="23" t="n"/>
      <c r="L35" s="24" t="n"/>
      <c r="M35" s="20" t="n"/>
      <c r="N35" s="23" t="n"/>
      <c r="O35" s="24" t="n"/>
    </row>
    <row r="36" outlineLevel="2" ht="22" customHeight="1">
      <c r="A36" s="13" t="inlineStr">
        <is>
          <t>03.03.05</t>
        </is>
      </c>
      <c r="B36" s="16" t="inlineStr">
        <is>
          <t>Дороги, благоустройство и малые архитектурные формы</t>
        </is>
      </c>
      <c r="C36" s="20" t="n"/>
      <c r="D36" s="20" t="n"/>
      <c r="E36" s="21">
        <f>D36-C36</f>
        <v/>
      </c>
      <c r="F36" s="22">
        <f>IF(AND(C36=0,D36=0),"—",IF(C36=0,"новая статья",E36/C36))</f>
        <v/>
      </c>
      <c r="G36" s="20" t="n"/>
      <c r="H36" s="20" t="n"/>
      <c r="I36" s="20" t="n"/>
      <c r="J36" s="21">
        <f>G36+H36+I36-E36</f>
        <v/>
      </c>
      <c r="K36" s="23" t="n"/>
      <c r="L36" s="24" t="n"/>
      <c r="M36" s="20" t="n"/>
      <c r="N36" s="23" t="n"/>
      <c r="O36" s="24" t="n"/>
    </row>
    <row r="37" outlineLevel="1" ht="22" customHeight="1">
      <c r="A37" s="13" t="inlineStr">
        <is>
          <t>03.04</t>
        </is>
      </c>
      <c r="B37" s="14" t="inlineStr">
        <is>
          <t>Технологическое оборудование и пусконаладка</t>
        </is>
      </c>
      <c r="C37" s="20" t="n"/>
      <c r="D37" s="20" t="n"/>
      <c r="E37" s="21">
        <f>D37-C37</f>
        <v/>
      </c>
      <c r="F37" s="22">
        <f>IF(AND(C37=0,D37=0),"—",IF(C37=0,"новая статья",E37/C37))</f>
        <v/>
      </c>
      <c r="G37" s="20" t="n"/>
      <c r="H37" s="20" t="n"/>
      <c r="I37" s="20" t="n"/>
      <c r="J37" s="21">
        <f>G37+H37+I37-E37</f>
        <v/>
      </c>
      <c r="K37" s="23" t="n"/>
      <c r="L37" s="24" t="n"/>
      <c r="M37" s="20" t="n"/>
      <c r="N37" s="23" t="n"/>
      <c r="O37" s="24" t="n"/>
    </row>
    <row r="38" ht="22" customHeight="1">
      <c r="A38" s="10" t="inlineStr">
        <is>
          <t>04</t>
        </is>
      </c>
      <c r="B38" s="6" t="inlineStr">
        <is>
          <t>Затраты на управление проектом</t>
        </is>
      </c>
      <c r="C38" s="18">
        <f>SUM(C39,C40,C41)</f>
        <v/>
      </c>
      <c r="D38" s="18">
        <f>SUM(D39,D40,D41)</f>
        <v/>
      </c>
      <c r="E38" s="18">
        <f>D38-C38</f>
        <v/>
      </c>
      <c r="F38" s="19">
        <f>IF(AND(C38=0,D38=0),"—",IF(C38=0,"новая статья",E38/C38))</f>
        <v/>
      </c>
      <c r="G38" s="18">
        <f>SUM(G39,G40,G41)</f>
        <v/>
      </c>
      <c r="H38" s="18">
        <f>SUM(H39,H40,H41)</f>
        <v/>
      </c>
      <c r="I38" s="18">
        <f>SUM(I39,I40,I41)</f>
        <v/>
      </c>
      <c r="J38" s="18">
        <f>G38+H38+I38-E38</f>
        <v/>
      </c>
      <c r="K38" s="6" t="n"/>
      <c r="L38" s="10" t="n"/>
      <c r="M38" s="18">
        <f>SUM(M39,M40,M41)</f>
        <v/>
      </c>
      <c r="N38" s="6" t="n"/>
      <c r="O38" s="10" t="n"/>
    </row>
    <row r="39" outlineLevel="1" ht="22" customHeight="1">
      <c r="A39" s="13" t="inlineStr">
        <is>
          <t>04.01</t>
        </is>
      </c>
      <c r="B39" s="14" t="inlineStr">
        <is>
          <t>Служба заказчика и технический заказчик</t>
        </is>
      </c>
      <c r="C39" s="20" t="n"/>
      <c r="D39" s="20" t="n"/>
      <c r="E39" s="21">
        <f>D39-C39</f>
        <v/>
      </c>
      <c r="F39" s="22">
        <f>IF(AND(C39=0,D39=0),"—",IF(C39=0,"новая статья",E39/C39))</f>
        <v/>
      </c>
      <c r="G39" s="20" t="n"/>
      <c r="H39" s="20" t="n"/>
      <c r="I39" s="20" t="n"/>
      <c r="J39" s="21">
        <f>G39+H39+I39-E39</f>
        <v/>
      </c>
      <c r="K39" s="23" t="n"/>
      <c r="L39" s="24" t="n"/>
      <c r="M39" s="20" t="n"/>
      <c r="N39" s="23" t="n"/>
      <c r="O39" s="24" t="n"/>
    </row>
    <row r="40" outlineLevel="1" ht="22" customHeight="1">
      <c r="A40" s="13" t="inlineStr">
        <is>
          <t>04.02</t>
        </is>
      </c>
      <c r="B40" s="14" t="inlineStr">
        <is>
          <t>Вознаграждение генподрядчика либо управляющего строительством</t>
        </is>
      </c>
      <c r="C40" s="20" t="n"/>
      <c r="D40" s="20" t="n"/>
      <c r="E40" s="21">
        <f>D40-C40</f>
        <v/>
      </c>
      <c r="F40" s="22">
        <f>IF(AND(C40=0,D40=0),"—",IF(C40=0,"новая статья",E40/C40))</f>
        <v/>
      </c>
      <c r="G40" s="20" t="n"/>
      <c r="H40" s="20" t="n"/>
      <c r="I40" s="20" t="n"/>
      <c r="J40" s="21">
        <f>G40+H40+I40-E40</f>
        <v/>
      </c>
      <c r="K40" s="23" t="n"/>
      <c r="L40" s="24" t="n"/>
      <c r="M40" s="20" t="n"/>
      <c r="N40" s="23" t="n"/>
      <c r="O40" s="24" t="n"/>
    </row>
    <row r="41" outlineLevel="1" ht="22" customHeight="1">
      <c r="A41" s="13" t="inlineStr">
        <is>
          <t>04.03</t>
        </is>
      </c>
      <c r="B41" s="14" t="inlineStr">
        <is>
          <t>Строительный контроль, охрана труда, качество и охрана площадки</t>
        </is>
      </c>
      <c r="C41" s="20" t="n"/>
      <c r="D41" s="20" t="n"/>
      <c r="E41" s="21">
        <f>D41-C41</f>
        <v/>
      </c>
      <c r="F41" s="22">
        <f>IF(AND(C41=0,D41=0),"—",IF(C41=0,"новая статья",E41/C41))</f>
        <v/>
      </c>
      <c r="G41" s="20" t="n"/>
      <c r="H41" s="20" t="n"/>
      <c r="I41" s="20" t="n"/>
      <c r="J41" s="21">
        <f>G41+H41+I41-E41</f>
        <v/>
      </c>
      <c r="K41" s="23" t="n"/>
      <c r="L41" s="24" t="n"/>
      <c r="M41" s="20" t="n"/>
      <c r="N41" s="23" t="n"/>
      <c r="O41" s="24" t="n"/>
    </row>
    <row r="42" ht="22" customHeight="1">
      <c r="A42" s="10" t="inlineStr">
        <is>
          <t>05</t>
        </is>
      </c>
      <c r="B42" s="6" t="inlineStr">
        <is>
          <t>Коммерческие и маркетинговые расходы</t>
        </is>
      </c>
      <c r="C42" s="18">
        <f>SUM(C43,C44,C45)</f>
        <v/>
      </c>
      <c r="D42" s="18">
        <f>SUM(D43,D44,D45)</f>
        <v/>
      </c>
      <c r="E42" s="18">
        <f>D42-C42</f>
        <v/>
      </c>
      <c r="F42" s="19">
        <f>IF(AND(C42=0,D42=0),"—",IF(C42=0,"новая статья",E42/C42))</f>
        <v/>
      </c>
      <c r="G42" s="18">
        <f>SUM(G43,G44,G45)</f>
        <v/>
      </c>
      <c r="H42" s="18">
        <f>SUM(H43,H44,H45)</f>
        <v/>
      </c>
      <c r="I42" s="18">
        <f>SUM(I43,I44,I45)</f>
        <v/>
      </c>
      <c r="J42" s="18">
        <f>G42+H42+I42-E42</f>
        <v/>
      </c>
      <c r="K42" s="6" t="n"/>
      <c r="L42" s="10" t="n"/>
      <c r="M42" s="18">
        <f>SUM(M43,M44,M45)</f>
        <v/>
      </c>
      <c r="N42" s="6" t="n"/>
      <c r="O42" s="10" t="n"/>
    </row>
    <row r="43" outlineLevel="1" ht="22" customHeight="1">
      <c r="A43" s="13" t="inlineStr">
        <is>
          <t>05.01</t>
        </is>
      </c>
      <c r="B43" s="14" t="inlineStr">
        <is>
          <t>Продвижение и реклама</t>
        </is>
      </c>
      <c r="C43" s="20" t="n"/>
      <c r="D43" s="20" t="n"/>
      <c r="E43" s="21">
        <f>D43-C43</f>
        <v/>
      </c>
      <c r="F43" s="22">
        <f>IF(AND(C43=0,D43=0),"—",IF(C43=0,"новая статья",E43/C43))</f>
        <v/>
      </c>
      <c r="G43" s="20" t="n"/>
      <c r="H43" s="20" t="n"/>
      <c r="I43" s="20" t="n"/>
      <c r="J43" s="21">
        <f>G43+H43+I43-E43</f>
        <v/>
      </c>
      <c r="K43" s="23" t="n"/>
      <c r="L43" s="24" t="n"/>
      <c r="M43" s="20" t="n"/>
      <c r="N43" s="23" t="n"/>
      <c r="O43" s="24" t="n"/>
    </row>
    <row r="44" outlineLevel="1" ht="22" customHeight="1">
      <c r="A44" s="13" t="inlineStr">
        <is>
          <t>05.02</t>
        </is>
      </c>
      <c r="B44" s="14" t="inlineStr">
        <is>
          <t>Офис продаж и демонстрационные площади</t>
        </is>
      </c>
      <c r="C44" s="20" t="n"/>
      <c r="D44" s="20" t="n"/>
      <c r="E44" s="21">
        <f>D44-C44</f>
        <v/>
      </c>
      <c r="F44" s="22">
        <f>IF(AND(C44=0,D44=0),"—",IF(C44=0,"новая статья",E44/C44))</f>
        <v/>
      </c>
      <c r="G44" s="20" t="n"/>
      <c r="H44" s="20" t="n"/>
      <c r="I44" s="20" t="n"/>
      <c r="J44" s="21">
        <f>G44+H44+I44-E44</f>
        <v/>
      </c>
      <c r="K44" s="23" t="n"/>
      <c r="L44" s="24" t="n"/>
      <c r="M44" s="20" t="n"/>
      <c r="N44" s="23" t="n"/>
      <c r="O44" s="24" t="n"/>
    </row>
    <row r="45" outlineLevel="1" ht="22" customHeight="1">
      <c r="A45" s="13" t="inlineStr">
        <is>
          <t>05.03</t>
        </is>
      </c>
      <c r="B45" s="14" t="inlineStr">
        <is>
          <t>Вознаграждение брокеров и каналов продаж</t>
        </is>
      </c>
      <c r="C45" s="20" t="n"/>
      <c r="D45" s="20" t="n"/>
      <c r="E45" s="21">
        <f>D45-C45</f>
        <v/>
      </c>
      <c r="F45" s="22">
        <f>IF(AND(C45=0,D45=0),"—",IF(C45=0,"новая статья",E45/C45))</f>
        <v/>
      </c>
      <c r="G45" s="20" t="n"/>
      <c r="H45" s="20" t="n"/>
      <c r="I45" s="20" t="n"/>
      <c r="J45" s="21">
        <f>G45+H45+I45-E45</f>
        <v/>
      </c>
      <c r="K45" s="23" t="n"/>
      <c r="L45" s="24" t="n"/>
      <c r="M45" s="20" t="n"/>
      <c r="N45" s="23" t="n"/>
      <c r="O45" s="24" t="n"/>
    </row>
    <row r="46" ht="22" customHeight="1">
      <c r="A46" s="10" t="inlineStr">
        <is>
          <t>06</t>
        </is>
      </c>
      <c r="B46" s="6" t="inlineStr">
        <is>
          <t>Финансовые и прочие затраты</t>
        </is>
      </c>
      <c r="C46" s="18">
        <f>SUM(C47,C48,C49)</f>
        <v/>
      </c>
      <c r="D46" s="18">
        <f>SUM(D47,D48,D49)</f>
        <v/>
      </c>
      <c r="E46" s="18">
        <f>D46-C46</f>
        <v/>
      </c>
      <c r="F46" s="19">
        <f>IF(AND(C46=0,D46=0),"—",IF(C46=0,"новая статья",E46/C46))</f>
        <v/>
      </c>
      <c r="G46" s="18">
        <f>SUM(G47,G48,G49)</f>
        <v/>
      </c>
      <c r="H46" s="18">
        <f>SUM(H47,H48,H49)</f>
        <v/>
      </c>
      <c r="I46" s="18">
        <f>SUM(I47,I48,I49)</f>
        <v/>
      </c>
      <c r="J46" s="18">
        <f>G46+H46+I46-E46</f>
        <v/>
      </c>
      <c r="K46" s="6" t="n"/>
      <c r="L46" s="10" t="n"/>
      <c r="M46" s="18">
        <f>SUM(M47,M48,M49)</f>
        <v/>
      </c>
      <c r="N46" s="6" t="n"/>
      <c r="O46" s="10" t="n"/>
    </row>
    <row r="47" outlineLevel="1" ht="22" customHeight="1">
      <c r="A47" s="13" t="inlineStr">
        <is>
          <t>06.01</t>
        </is>
      </c>
      <c r="B47" s="14" t="inlineStr">
        <is>
          <t>Страхование</t>
        </is>
      </c>
      <c r="C47" s="20" t="n"/>
      <c r="D47" s="20" t="n"/>
      <c r="E47" s="21">
        <f>D47-C47</f>
        <v/>
      </c>
      <c r="F47" s="22">
        <f>IF(AND(C47=0,D47=0),"—",IF(C47=0,"новая статья",E47/C47))</f>
        <v/>
      </c>
      <c r="G47" s="20" t="n"/>
      <c r="H47" s="20" t="n"/>
      <c r="I47" s="20" t="n"/>
      <c r="J47" s="21">
        <f>G47+H47+I47-E47</f>
        <v/>
      </c>
      <c r="K47" s="23" t="n"/>
      <c r="L47" s="24" t="n"/>
      <c r="M47" s="20" t="n"/>
      <c r="N47" s="23" t="n"/>
      <c r="O47" s="24" t="n"/>
    </row>
    <row r="48" outlineLevel="1" ht="22" customHeight="1">
      <c r="A48" s="13" t="inlineStr">
        <is>
          <t>06.02</t>
        </is>
      </c>
      <c r="B48" s="14" t="inlineStr">
        <is>
          <t>Резерв непредвиденных расходов</t>
        </is>
      </c>
      <c r="C48" s="20" t="n"/>
      <c r="D48" s="20" t="n"/>
      <c r="E48" s="21">
        <f>D48-C48</f>
        <v/>
      </c>
      <c r="F48" s="22">
        <f>IF(AND(C48=0,D48=0),"—",IF(C48=0,"новая статья",E48/C48))</f>
        <v/>
      </c>
      <c r="G48" s="20" t="n"/>
      <c r="H48" s="20" t="n"/>
      <c r="I48" s="20" t="n"/>
      <c r="J48" s="21">
        <f>G48+H48+I48-E48</f>
        <v/>
      </c>
      <c r="K48" s="23" t="n"/>
      <c r="L48" s="24" t="n"/>
      <c r="M48" s="20" t="n"/>
      <c r="N48" s="23" t="n"/>
      <c r="O48" s="24" t="n"/>
    </row>
    <row r="49" outlineLevel="1" ht="22" customHeight="1">
      <c r="A49" s="13" t="inlineStr">
        <is>
          <t>06.03</t>
        </is>
      </c>
      <c r="B49" s="14" t="inlineStr">
        <is>
          <t>Комиссии, гарантии, обязательные платежи и консультации</t>
        </is>
      </c>
      <c r="C49" s="20" t="n"/>
      <c r="D49" s="20" t="n"/>
      <c r="E49" s="21">
        <f>D49-C49</f>
        <v/>
      </c>
      <c r="F49" s="22">
        <f>IF(AND(C49=0,D49=0),"—",IF(C49=0,"новая статья",E49/C49))</f>
        <v/>
      </c>
      <c r="G49" s="20" t="n"/>
      <c r="H49" s="20" t="n"/>
      <c r="I49" s="20" t="n"/>
      <c r="J49" s="21">
        <f>G49+H49+I49-E49</f>
        <v/>
      </c>
      <c r="K49" s="23" t="n"/>
      <c r="L49" s="24" t="n"/>
      <c r="M49" s="20" t="n"/>
      <c r="N49" s="23" t="n"/>
      <c r="O49" s="24" t="n"/>
    </row>
    <row r="50" ht="24" customHeight="1">
      <c r="A50" s="5" t="inlineStr">
        <is>
          <t>00</t>
        </is>
      </c>
      <c r="B50" s="25" t="inlineStr">
        <is>
          <t>Итого, сопоставимый периметр</t>
        </is>
      </c>
      <c r="C50" s="26">
        <f>SUM(C5,C10,C16,C38,C42,C46)</f>
        <v/>
      </c>
      <c r="D50" s="26">
        <f>SUM(D5,D10,D16,D38,D42,D46)</f>
        <v/>
      </c>
      <c r="E50" s="26">
        <f>SUM(E5,E10,E16,E38,E42,E46)</f>
        <v/>
      </c>
      <c r="F50" s="27">
        <f>IF(C50=0,"—",E50/C50)</f>
        <v/>
      </c>
      <c r="G50" s="26">
        <f>SUM(G5,G10,G16,G38,G42,G46)</f>
        <v/>
      </c>
      <c r="H50" s="26">
        <f>SUM(H5,H10,H16,H38,H42,H46)</f>
        <v/>
      </c>
      <c r="I50" s="26">
        <f>SUM(I5,I10,I16,I38,I42,I46)</f>
        <v/>
      </c>
      <c r="J50" s="26">
        <f>SUM(J5,J10,J16,J38,J42,J46)</f>
        <v/>
      </c>
      <c r="K50" s="25" t="inlineStr">
        <is>
          <t>F1 + F2 + F3 = отклонение. Сумма риска в это тождество не входит.</t>
        </is>
      </c>
      <c r="L50" s="5" t="n"/>
      <c r="M50" s="26">
        <f>SUM(M5,M10,M16,M38,M42,M46)</f>
        <v/>
      </c>
      <c r="N50" s="25" t="n"/>
      <c r="O50" s="5" t="n"/>
    </row>
  </sheetData>
  <autoFilter ref="A4:O50"/>
  <mergeCells count="2">
    <mergeCell ref="A1:O1"/>
    <mergeCell ref="A2:O2"/>
  </mergeCells>
  <conditionalFormatting sqref="J5:J50">
    <cfRule type="cellIs" priority="1" operator="between" dxfId="0">
      <formula>-1</formula>
      <formula>1</formula>
    </cfRule>
    <cfRule type="cellIs" priority="2" operator="notBetween" dxfId="1">
      <formula>-1</formula>
      <formula>1</formula>
    </cfRule>
  </conditionalFormatting>
  <conditionalFormatting sqref="L5:L50">
    <cfRule type="expression" priority="3" dxfId="2">
      <formula>L5="Высокий"</formula>
    </cfRule>
    <cfRule type="expression" priority="4" dxfId="3">
      <formula>L5="Средний"</formula>
    </cfRule>
    <cfRule type="expression" priority="5" dxfId="0">
      <formula>L5="Низкий"</formula>
    </cfRule>
  </conditionalFormatting>
  <dataValidations count="2">
    <dataValidation sqref="L5 L6 L7 L8 L9 L10 L11 L12 L13 L14 L15 L16 L17 L18 L19 L20 L21 L22 L23 L24 L25 L26 L27 L28 L29 L30 L31 L32 L33 L34 L35 L36 L37 L38 L39 L40 L41 L42 L43 L44 L45 L46 L47 L48 L49" showDropDown="0" showInputMessage="0" showErrorMessage="0" allowBlank="1" type="list">
      <formula1>"Низкий,Средний,Высокий"</formula1>
    </dataValidation>
    <dataValidation sqref="O5 O6 O7 O8 O9 O10 O11 O12 O13 O14 O15 O16 O17 O18 O19 O20 O21 O22 O23 O24 O25 O26 O27 O28 O29 O30 O31 O32 O33 O34 O35 O36 O37 O38 O39 O40 O41 O42 O43 O44 O45 O46 O47 O48 O49" showDropDown="0" showInputMessage="0" showErrorMessage="0" allowBlank="1" type="list">
      <formula1>"А,Б,В"</formula1>
    </dataValidation>
  </dataValidations>
  <pageMargins left="0.75" right="0.75" top="1" bottom="1" header="0.5" footer="0.5"/>
  <pageSetup orientation="landscape" paperSize="8" fitToHeight="0" fitToWidth="1"/>
  <headerFooter>
    <oddHeader>&amp;LПостатейный факторный анализ бюджета</oddHeader>
    <oddFooter>&amp;LРубли без НДС. Факторы в сумме равны отклонению.&amp;RСтр. &amp;P</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O58"/>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62" customWidth="1" min="2" max="2"/>
    <col width="24" customWidth="1" min="3" max="3"/>
    <col width="28" customWidth="1" min="4" max="4"/>
    <col width="22" customWidth="1" min="5" max="5"/>
    <col width="16" customWidth="1" min="6" max="6"/>
    <col width="26" customWidth="1" min="7" max="7"/>
    <col width="30" customWidth="1" min="8" max="8"/>
    <col width="28" customWidth="1" min="9" max="9"/>
    <col width="18" customWidth="1" min="10" max="10"/>
    <col width="72" customWidth="1" min="11" max="11"/>
    <col width="16" customWidth="1" min="12" max="12"/>
    <col width="22" customWidth="1" min="13" max="13"/>
    <col width="55" customWidth="1" min="14" max="14"/>
    <col width="18" customWidth="1" min="15" max="15"/>
  </cols>
  <sheetData>
    <row r="1" ht="24" customHeight="1">
      <c r="A1" s="1" t="inlineStr">
        <is>
          <t>Условный пример постатейного факторного анализа</t>
        </is>
      </c>
    </row>
    <row r="2" ht="36" customHeight="1">
      <c r="A2" s="17" t="inlineStr">
        <is>
          <t>Единица измерения — рубль без НДС. Желтым отмечен ввод. Отклонение, процент, агрегаты и колонка «Контроль» считаются формулами. Контроль = инфляция + изменения ПСД + иные причины − отклонение и должен быть равен нулю. Сумма риска — оценка возможного нового удорожания сверх откорректированного бюджета. В контроль факторов она не входит. Цифры примера условные. Проценты по кредиту в бюджет не включены.</t>
        </is>
      </c>
    </row>
    <row r="4" ht="36" customHeight="1">
      <c r="A4" s="5" t="inlineStr">
        <is>
          <t>Код</t>
        </is>
      </c>
      <c r="B4" s="5" t="inlineStr">
        <is>
          <t>Наименование статьи</t>
        </is>
      </c>
      <c r="C4" s="5" t="inlineStr">
        <is>
          <t>Базовый бюджет, руб.</t>
        </is>
      </c>
      <c r="D4" s="5" t="inlineStr">
        <is>
          <t>Откорректированный бюджет, руб.</t>
        </is>
      </c>
      <c r="E4" s="5" t="inlineStr">
        <is>
          <t>Отклонение, руб.</t>
        </is>
      </c>
      <c r="F4" s="5" t="inlineStr">
        <is>
          <t>Отклонение, %</t>
        </is>
      </c>
      <c r="G4" s="5" t="inlineStr">
        <is>
          <t>Фактор 1. Инфляция, руб.</t>
        </is>
      </c>
      <c r="H4" s="5" t="inlineStr">
        <is>
          <t>Фактор 2. Изменения ПСД, руб.</t>
        </is>
      </c>
      <c r="I4" s="5" t="inlineStr">
        <is>
          <t>Фактор 3. Иные причины, руб.</t>
        </is>
      </c>
      <c r="J4" s="5" t="inlineStr">
        <is>
          <t>Контроль, руб.</t>
        </is>
      </c>
      <c r="K4" s="5" t="inlineStr">
        <is>
          <t>Причины изменения</t>
        </is>
      </c>
      <c r="L4" s="5" t="inlineStr">
        <is>
          <t>Риск до ввода</t>
        </is>
      </c>
      <c r="M4" s="5" t="inlineStr">
        <is>
          <t>Сумма риска, руб.</t>
        </is>
      </c>
      <c r="N4" s="5" t="inlineStr">
        <is>
          <t>Комментарий к риску</t>
        </is>
      </c>
      <c r="O4" s="5" t="inlineStr">
        <is>
          <t>Класс надежности</t>
        </is>
      </c>
    </row>
    <row r="5" ht="48" customHeight="1">
      <c r="A5" s="10" t="inlineStr">
        <is>
          <t>01</t>
        </is>
      </c>
      <c r="B5" s="6" t="inlineStr">
        <is>
          <t>Подготовка строительства и земля</t>
        </is>
      </c>
      <c r="C5" s="18">
        <f>SUM(C6,C7,C8,C9)</f>
        <v/>
      </c>
      <c r="D5" s="18">
        <f>SUM(D6,D7,D8,D9)</f>
        <v/>
      </c>
      <c r="E5" s="18">
        <f>D5-C5</f>
        <v/>
      </c>
      <c r="F5" s="19">
        <f>IF(AND(C5=0,D5=0),"—",IF(C5=0,"новая статья",E5/C5))</f>
        <v/>
      </c>
      <c r="G5" s="18">
        <f>SUM(G6,G7,G8,G9)</f>
        <v/>
      </c>
      <c r="H5" s="18">
        <f>SUM(H6,H7,H8,H9)</f>
        <v/>
      </c>
      <c r="I5" s="18">
        <f>SUM(I6,I7,I8,I9)</f>
        <v/>
      </c>
      <c r="J5" s="18">
        <f>G5+H5+I5-E5</f>
        <v/>
      </c>
      <c r="K5" s="6" t="inlineStr">
        <is>
          <t>Свертка вложенных строк.</t>
        </is>
      </c>
      <c r="L5" s="10" t="inlineStr">
        <is>
          <t>Средний</t>
        </is>
      </c>
      <c r="M5" s="18">
        <f>SUM(M6,M7,M8,M9)</f>
        <v/>
      </c>
      <c r="N5" s="6" t="inlineStr">
        <is>
          <t>Оценка агрегата — наихудшая существенная вложенная строка.</t>
        </is>
      </c>
      <c r="O5" s="10" t="n"/>
    </row>
    <row r="6" outlineLevel="1" ht="48" customHeight="1">
      <c r="A6" s="13" t="inlineStr">
        <is>
          <t>01.01</t>
        </is>
      </c>
      <c r="B6" s="14" t="inlineStr">
        <is>
          <t>Градостроительная подготовка и права на земельный участок</t>
        </is>
      </c>
      <c r="C6" s="20" t="n">
        <v>40000000</v>
      </c>
      <c r="D6" s="20" t="n">
        <v>42000000</v>
      </c>
      <c r="E6" s="21">
        <f>D6-C6</f>
        <v/>
      </c>
      <c r="F6" s="22">
        <f>IF(AND(C6=0,D6=0),"—",IF(C6=0,"новая статья",E6/C6))</f>
        <v/>
      </c>
      <c r="G6" s="20" t="n">
        <v>1000000</v>
      </c>
      <c r="H6" s="20" t="n">
        <v>0</v>
      </c>
      <c r="I6" s="20" t="n">
        <v>1000000</v>
      </c>
      <c r="J6" s="21">
        <f>G6+H6+I6-E6</f>
        <v/>
      </c>
      <c r="K6" s="23" t="inlineStr">
        <is>
          <t>Плата за изменение документации планировки и актуализацию ГПЗУ сверх исходного допуска. Строительный дефлятор к этим платежам почти не применяется.</t>
        </is>
      </c>
      <c r="L6" s="24" t="inlineStr">
        <is>
          <t>Низкий</t>
        </is>
      </c>
      <c r="M6" s="20" t="n">
        <v>0</v>
      </c>
      <c r="N6" s="23" t="inlineStr">
        <is>
          <t>Градостроительная подготовка завершена, открытых предписаний нет.</t>
        </is>
      </c>
      <c r="O6" s="24" t="inlineStr">
        <is>
          <t>Б</t>
        </is>
      </c>
    </row>
    <row r="7" outlineLevel="1" ht="48" customHeight="1">
      <c r="A7" s="13" t="inlineStr">
        <is>
          <t>01.02</t>
        </is>
      </c>
      <c r="B7" s="14" t="inlineStr">
        <is>
          <t>Освобождение территории, снос и перенос существующих сетей</t>
        </is>
      </c>
      <c r="C7" s="20" t="n">
        <v>90000000</v>
      </c>
      <c r="D7" s="20" t="n">
        <v>115000000</v>
      </c>
      <c r="E7" s="21">
        <f>D7-C7</f>
        <v/>
      </c>
      <c r="F7" s="22">
        <f>IF(AND(C7=0,D7=0),"—",IF(C7=0,"новая статья",E7/C7))</f>
        <v/>
      </c>
      <c r="G7" s="20" t="n">
        <v>8000000</v>
      </c>
      <c r="H7" s="20" t="n">
        <v>14000000</v>
      </c>
      <c r="I7" s="20" t="n">
        <v>3000000</v>
      </c>
      <c r="J7" s="21">
        <f>G7+H7+I7-E7</f>
        <v/>
      </c>
      <c r="K7" s="23" t="inlineStr">
        <is>
          <t>Дополнительные объемы переноса теплосети и сноса по уточненным обмерам и новым техническим условиям. Индекс на демонтаж и перевозку выше дефлятора T0. Обременения сверх объемов ПСД отнесены к иным причинам.</t>
        </is>
      </c>
      <c r="L7" s="24" t="inlineStr">
        <is>
          <t>Средний</t>
        </is>
      </c>
      <c r="M7" s="20" t="n">
        <v>8000000</v>
      </c>
      <c r="N7" s="23" t="inlineStr">
        <is>
          <t>Часть переносов не законтрактована. Возможен новый объем по требованиям смежных собственников.</t>
        </is>
      </c>
      <c r="O7" s="24" t="inlineStr">
        <is>
          <t>А</t>
        </is>
      </c>
    </row>
    <row r="8" outlineLevel="1" ht="48" customHeight="1">
      <c r="A8" s="13" t="inlineStr">
        <is>
          <t>01.03</t>
        </is>
      </c>
      <c r="B8" s="14" t="inlineStr">
        <is>
          <t>Земляные работы, котлован, крепление и водопонижение</t>
        </is>
      </c>
      <c r="C8" s="20" t="n">
        <v>140000000</v>
      </c>
      <c r="D8" s="20" t="n">
        <v>165000000</v>
      </c>
      <c r="E8" s="21">
        <f>D8-C8</f>
        <v/>
      </c>
      <c r="F8" s="22">
        <f>IF(AND(C8=0,D8=0),"—",IF(C8=0,"новая статья",E8/C8))</f>
        <v/>
      </c>
      <c r="G8" s="20" t="n">
        <v>12000000</v>
      </c>
      <c r="H8" s="20" t="n">
        <v>10000000</v>
      </c>
      <c r="I8" s="20" t="n">
        <v>3000000</v>
      </c>
      <c r="J8" s="21">
        <f>G8+H8+I8-E8</f>
        <v/>
      </c>
      <c r="K8" s="23" t="inlineStr">
        <is>
          <t>Рост объема вывоза и крепления после корректировки геологии и отметки фундамента. Индекс топлива, транспорта и оплаты труда машинистов выше плана. Водопонижение сверх проекта из-за фактического водопритока отнесено к иным причинам.</t>
        </is>
      </c>
      <c r="L8" s="24" t="inlineStr">
        <is>
          <t>Средний</t>
        </is>
      </c>
      <c r="M8" s="20" t="n">
        <v>10000000</v>
      </c>
      <c r="N8" s="23" t="inlineStr">
        <is>
          <t>Котлован выполнен частично. Остается риск водопритока и зимнего удорожания незакрытого остатка.</t>
        </is>
      </c>
      <c r="O8" s="24" t="inlineStr">
        <is>
          <t>А</t>
        </is>
      </c>
    </row>
    <row r="9" outlineLevel="1" ht="48" customHeight="1">
      <c r="A9" s="13" t="inlineStr">
        <is>
          <t>01.04</t>
        </is>
      </c>
      <c r="B9" s="14" t="inlineStr">
        <is>
          <t>Временная строительная инфраструктура площадки</t>
        </is>
      </c>
      <c r="C9" s="20" t="n">
        <v>50000000</v>
      </c>
      <c r="D9" s="20" t="n">
        <v>58000000</v>
      </c>
      <c r="E9" s="21">
        <f>D9-C9</f>
        <v/>
      </c>
      <c r="F9" s="22">
        <f>IF(AND(C9=0,D9=0),"—",IF(C9=0,"новая статья",E9/C9))</f>
        <v/>
      </c>
      <c r="G9" s="20" t="n">
        <v>4000000</v>
      </c>
      <c r="H9" s="20" t="n">
        <v>4000000</v>
      </c>
      <c r="I9" s="20" t="n">
        <v>0</v>
      </c>
      <c r="J9" s="21">
        <f>G9+H9+I9-E9</f>
        <v/>
      </c>
      <c r="K9" s="23" t="inlineStr">
        <is>
          <t>Удорожание временных сетей и городка в пределах индекса оплаты труда и материалов плюс расширение городка под дополнительную сменность, вызванную ростом объемов.</t>
        </is>
      </c>
      <c r="L9" s="24" t="inlineStr">
        <is>
          <t>Низкий</t>
        </is>
      </c>
      <c r="M9" s="20" t="n">
        <v>0</v>
      </c>
      <c r="N9" s="23" t="inlineStr">
        <is>
          <t>Затраты в основном уже понесены.</t>
        </is>
      </c>
      <c r="O9" s="24" t="inlineStr">
        <is>
          <t>Б</t>
        </is>
      </c>
    </row>
    <row r="10" ht="48" customHeight="1">
      <c r="A10" s="10" t="inlineStr">
        <is>
          <t>02</t>
        </is>
      </c>
      <c r="B10" s="6" t="inlineStr">
        <is>
          <t>Проектно-изыскательские работы и авторский надзор</t>
        </is>
      </c>
      <c r="C10" s="18">
        <f>SUM(C11,C12,C13,C14,C15)</f>
        <v/>
      </c>
      <c r="D10" s="18">
        <f>SUM(D11,D12,D13,D14,D15)</f>
        <v/>
      </c>
      <c r="E10" s="18">
        <f>D10-C10</f>
        <v/>
      </c>
      <c r="F10" s="19">
        <f>IF(AND(C10=0,D10=0),"—",IF(C10=0,"новая статья",E10/C10))</f>
        <v/>
      </c>
      <c r="G10" s="18">
        <f>SUM(G11,G12,G13,G14,G15)</f>
        <v/>
      </c>
      <c r="H10" s="18">
        <f>SUM(H11,H12,H13,H14,H15)</f>
        <v/>
      </c>
      <c r="I10" s="18">
        <f>SUM(I11,I12,I13,I14,I15)</f>
        <v/>
      </c>
      <c r="J10" s="18">
        <f>G10+H10+I10-E10</f>
        <v/>
      </c>
      <c r="K10" s="6" t="inlineStr">
        <is>
          <t>Свертка вложенных строк.</t>
        </is>
      </c>
      <c r="L10" s="10" t="inlineStr">
        <is>
          <t>Средний</t>
        </is>
      </c>
      <c r="M10" s="18">
        <f>SUM(M11,M12,M13,M14,M15)</f>
        <v/>
      </c>
      <c r="N10" s="6" t="inlineStr">
        <is>
          <t>Оценка агрегата — наихудшая существенная вложенная строка.</t>
        </is>
      </c>
      <c r="O10" s="10" t="n"/>
    </row>
    <row r="11" outlineLevel="1" ht="48" customHeight="1">
      <c r="A11" s="13" t="inlineStr">
        <is>
          <t>02.01</t>
        </is>
      </c>
      <c r="B11" s="14" t="inlineStr">
        <is>
          <t>Инженерные изыскания</t>
        </is>
      </c>
      <c r="C11" s="20" t="n">
        <v>35000000</v>
      </c>
      <c r="D11" s="20" t="n">
        <v>40000000</v>
      </c>
      <c r="E11" s="21">
        <f>D11-C11</f>
        <v/>
      </c>
      <c r="F11" s="22">
        <f>IF(AND(C11=0,D11=0),"—",IF(C11=0,"новая статья",E11/C11))</f>
        <v/>
      </c>
      <c r="G11" s="20" t="n">
        <v>2000000</v>
      </c>
      <c r="H11" s="20" t="n">
        <v>3000000</v>
      </c>
      <c r="I11" s="20" t="n">
        <v>0</v>
      </c>
      <c r="J11" s="21">
        <f>G11+H11+I11-E11</f>
        <v/>
      </c>
      <c r="K11" s="23" t="inlineStr">
        <is>
          <t>Дополнительные геотехнические и экологические изыскания под измененные конструктивные решения. Отдельно учтен индекс договорных цен изыскателей к дефлятору T0.</t>
        </is>
      </c>
      <c r="L11" s="24" t="inlineStr">
        <is>
          <t>Низкий</t>
        </is>
      </c>
      <c r="M11" s="20" t="n">
        <v>0</v>
      </c>
      <c r="N11" s="23" t="inlineStr">
        <is>
          <t>Полевые работы закрыты актами.</t>
        </is>
      </c>
      <c r="O11" s="24" t="inlineStr">
        <is>
          <t>А</t>
        </is>
      </c>
    </row>
    <row r="12" outlineLevel="1" ht="48" customHeight="1">
      <c r="A12" s="13" t="inlineStr">
        <is>
          <t>02.02</t>
        </is>
      </c>
      <c r="B12" s="14" t="inlineStr">
        <is>
          <t>Проектная документация</t>
        </is>
      </c>
      <c r="C12" s="20" t="n">
        <v>90000000</v>
      </c>
      <c r="D12" s="20" t="n">
        <v>100000000</v>
      </c>
      <c r="E12" s="21">
        <f>D12-C12</f>
        <v/>
      </c>
      <c r="F12" s="22">
        <f>IF(AND(C12=0,D12=0),"—",IF(C12=0,"новая статья",E12/C12))</f>
        <v/>
      </c>
      <c r="G12" s="20" t="n">
        <v>5000000</v>
      </c>
      <c r="H12" s="20" t="n">
        <v>4000000</v>
      </c>
      <c r="I12" s="20" t="n">
        <v>1000000</v>
      </c>
      <c r="J12" s="21">
        <f>G12+H12+I12-E12</f>
        <v/>
      </c>
      <c r="K12" s="23" t="inlineStr">
        <is>
          <t>Корректировка стадии П под новые ТЭП. Индексация частично выполненных этапов. Доплата за сжатый срок выпуска, не вытекающая из состава документации, отнесена к иным причинам.</t>
        </is>
      </c>
      <c r="L12" s="24" t="inlineStr">
        <is>
          <t>Низкий</t>
        </is>
      </c>
      <c r="M12" s="20" t="n">
        <v>0</v>
      </c>
      <c r="N12" s="23" t="inlineStr">
        <is>
          <t>Экспертиза стадии П пройдена.</t>
        </is>
      </c>
      <c r="O12" s="24" t="inlineStr">
        <is>
          <t>А</t>
        </is>
      </c>
    </row>
    <row r="13" outlineLevel="1" ht="48" customHeight="1">
      <c r="A13" s="13" t="inlineStr">
        <is>
          <t>02.03</t>
        </is>
      </c>
      <c r="B13" s="14" t="inlineStr">
        <is>
          <t>Рабочая документация</t>
        </is>
      </c>
      <c r="C13" s="20" t="n">
        <v>110000000</v>
      </c>
      <c r="D13" s="20" t="n">
        <v>145000000</v>
      </c>
      <c r="E13" s="21">
        <f>D13-C13</f>
        <v/>
      </c>
      <c r="F13" s="22">
        <f>IF(AND(C13=0,D13=0),"—",IF(C13=0,"новая статья",E13/C13))</f>
        <v/>
      </c>
      <c r="G13" s="20" t="n">
        <v>8000000</v>
      </c>
      <c r="H13" s="20" t="n">
        <v>22000000</v>
      </c>
      <c r="I13" s="20" t="n">
        <v>5000000</v>
      </c>
      <c r="J13" s="21">
        <f>G13+H13+I13-E13</f>
        <v/>
      </c>
      <c r="K13" s="23" t="inlineStr">
        <is>
          <t>Основной прирост — дополнительные комплекты рабочей документации по измененным разделам КР, АР и инженерных систем. Индекс ставок проектировщиков учтен отдельно. Счета за переделки исходных коллизий при неизменных решениях отнесены к иным причинам.</t>
        </is>
      </c>
      <c r="L13" s="24" t="inlineStr">
        <is>
          <t>Средний</t>
        </is>
      </c>
      <c r="M13" s="20" t="n">
        <v>12000000</v>
      </c>
      <c r="N13" s="23" t="inlineStr">
        <is>
          <t>Комплект рабочей документации не завершен. До окончания СМР вероятны дополнительные измы.</t>
        </is>
      </c>
      <c r="O13" s="24" t="inlineStr">
        <is>
          <t>А</t>
        </is>
      </c>
    </row>
    <row r="14" outlineLevel="1" ht="48" customHeight="1">
      <c r="A14" s="13" t="inlineStr">
        <is>
          <t>02.04</t>
        </is>
      </c>
      <c r="B14" s="14" t="inlineStr">
        <is>
          <t>Экспертиза проектной документации и результатов изысканий</t>
        </is>
      </c>
      <c r="C14" s="20" t="n">
        <v>25000000</v>
      </c>
      <c r="D14" s="20" t="n">
        <v>30000000</v>
      </c>
      <c r="E14" s="21">
        <f>D14-C14</f>
        <v/>
      </c>
      <c r="F14" s="22">
        <f>IF(AND(C14=0,D14=0),"—",IF(C14=0,"новая статья",E14/C14))</f>
        <v/>
      </c>
      <c r="G14" s="20" t="n">
        <v>1000000</v>
      </c>
      <c r="H14" s="20" t="n">
        <v>3000000</v>
      </c>
      <c r="I14" s="20" t="n">
        <v>1000000</v>
      </c>
      <c r="J14" s="21">
        <f>G14+H14+I14-E14</f>
        <v/>
      </c>
      <c r="K14" s="23" t="inlineStr">
        <is>
          <t>Повторная экспертиза в связи с изменением ТЭП. Тарифный индекс на исходный состав. Сопутствующие расходы на устранение замечаний без смены решений отнесены к иным причинам.</t>
        </is>
      </c>
      <c r="L14" s="24" t="inlineStr">
        <is>
          <t>Низкий</t>
        </is>
      </c>
      <c r="M14" s="20" t="n">
        <v>0</v>
      </c>
      <c r="N14" s="23" t="inlineStr">
        <is>
          <t>Повторное заключение получено.</t>
        </is>
      </c>
      <c r="O14" s="24" t="inlineStr">
        <is>
          <t>А</t>
        </is>
      </c>
    </row>
    <row r="15" outlineLevel="1" ht="48" customHeight="1">
      <c r="A15" s="13" t="inlineStr">
        <is>
          <t>02.05</t>
        </is>
      </c>
      <c r="B15" s="14" t="inlineStr">
        <is>
          <t>Авторский надзор</t>
        </is>
      </c>
      <c r="C15" s="20" t="n">
        <v>20000000</v>
      </c>
      <c r="D15" s="20" t="n">
        <v>25000000</v>
      </c>
      <c r="E15" s="21">
        <f>D15-C15</f>
        <v/>
      </c>
      <c r="F15" s="22">
        <f>IF(AND(C15=0,D15=0),"—",IF(C15=0,"новая статья",E15/C15))</f>
        <v/>
      </c>
      <c r="G15" s="20" t="n">
        <v>2000000</v>
      </c>
      <c r="H15" s="20" t="n">
        <v>3000000</v>
      </c>
      <c r="I15" s="20" t="n">
        <v>0</v>
      </c>
      <c r="J15" s="21">
        <f>G15+H15+I15-E15</f>
        <v/>
      </c>
      <c r="K15" s="23" t="inlineStr">
        <is>
          <t>Индексация помесячной ставки на исходный срок и дополнительные выезды по новым разделам рабочей документации. Чистое удлинение срока стройки в эту строку не включено, чтобы не задвоить его с группой 04.</t>
        </is>
      </c>
      <c r="L15" s="24" t="inlineStr">
        <is>
          <t>Средний</t>
        </is>
      </c>
      <c r="M15" s="20" t="n">
        <v>4000000</v>
      </c>
      <c r="N15" s="23" t="inlineStr">
        <is>
          <t>При следующем сдвиге ввода вероятно дополнительное соглашение. В бюджете T1 его еще нет.</t>
        </is>
      </c>
      <c r="O15" s="24" t="inlineStr">
        <is>
          <t>А</t>
        </is>
      </c>
    </row>
    <row r="16" ht="48" customHeight="1">
      <c r="A16" s="10" t="inlineStr">
        <is>
          <t>03</t>
        </is>
      </c>
      <c r="B16" s="6" t="inlineStr">
        <is>
          <t>Строительно-монтажные работы</t>
        </is>
      </c>
      <c r="C16" s="18">
        <f>SUM(C17,C25,C31,C37)</f>
        <v/>
      </c>
      <c r="D16" s="18">
        <f>SUM(D17,D25,D31,D37)</f>
        <v/>
      </c>
      <c r="E16" s="18">
        <f>D16-C16</f>
        <v/>
      </c>
      <c r="F16" s="19">
        <f>IF(AND(C16=0,D16=0),"—",IF(C16=0,"новая статья",E16/C16))</f>
        <v/>
      </c>
      <c r="G16" s="18">
        <f>SUM(G17,G25,G31,G37)</f>
        <v/>
      </c>
      <c r="H16" s="18">
        <f>SUM(H17,H25,H31,H37)</f>
        <v/>
      </c>
      <c r="I16" s="18">
        <f>SUM(I17,I25,I31,I37)</f>
        <v/>
      </c>
      <c r="J16" s="18">
        <f>G16+H16+I16-E16</f>
        <v/>
      </c>
      <c r="K16" s="6" t="inlineStr">
        <is>
          <t>Свертка вложенных строк.</t>
        </is>
      </c>
      <c r="L16" s="10" t="inlineStr">
        <is>
          <t>Высокий</t>
        </is>
      </c>
      <c r="M16" s="18">
        <f>SUM(M17,M25,M31,M37)</f>
        <v/>
      </c>
      <c r="N16" s="6" t="inlineStr">
        <is>
          <t>Оценка агрегата — наихудшая существенная вложенная строка.</t>
        </is>
      </c>
      <c r="O16" s="10" t="n"/>
    </row>
    <row r="17" outlineLevel="1" ht="48" customHeight="1">
      <c r="A17" s="10" t="inlineStr">
        <is>
          <t>03.01</t>
        </is>
      </c>
      <c r="B17" s="15" t="inlineStr">
        <is>
          <t>Общестроительные работы и конструктив</t>
        </is>
      </c>
      <c r="C17" s="18">
        <f>SUM(C18,C19,C20,C21,C22,C23,C24)</f>
        <v/>
      </c>
      <c r="D17" s="18">
        <f>SUM(D18,D19,D20,D21,D22,D23,D24)</f>
        <v/>
      </c>
      <c r="E17" s="18">
        <f>D17-C17</f>
        <v/>
      </c>
      <c r="F17" s="19">
        <f>IF(AND(C17=0,D17=0),"—",IF(C17=0,"новая статья",E17/C17))</f>
        <v/>
      </c>
      <c r="G17" s="18">
        <f>SUM(G18,G19,G20,G21,G22,G23,G24)</f>
        <v/>
      </c>
      <c r="H17" s="18">
        <f>SUM(H18,H19,H20,H21,H22,H23,H24)</f>
        <v/>
      </c>
      <c r="I17" s="18">
        <f>SUM(I18,I19,I20,I21,I22,I23,I24)</f>
        <v/>
      </c>
      <c r="J17" s="18">
        <f>G17+H17+I17-E17</f>
        <v/>
      </c>
      <c r="K17" s="6" t="inlineStr">
        <is>
          <t>Свертка вложенных строк.</t>
        </is>
      </c>
      <c r="L17" s="10" t="inlineStr">
        <is>
          <t>Высокий</t>
        </is>
      </c>
      <c r="M17" s="18">
        <f>SUM(M18,M19,M20,M21,M22,M23,M24)</f>
        <v/>
      </c>
      <c r="N17" s="6" t="inlineStr">
        <is>
          <t>Оценка агрегата — наихудшая существенная вложенная строка.</t>
        </is>
      </c>
      <c r="O17" s="10" t="n"/>
    </row>
    <row r="18" outlineLevel="2" ht="48" customHeight="1">
      <c r="A18" s="13" t="inlineStr">
        <is>
          <t>03.01.01</t>
        </is>
      </c>
      <c r="B18" s="16" t="inlineStr">
        <is>
          <t>Фундаменты и подземная часть</t>
        </is>
      </c>
      <c r="C18" s="20" t="n">
        <v>620000000</v>
      </c>
      <c r="D18" s="20" t="n">
        <v>740000000</v>
      </c>
      <c r="E18" s="21">
        <f>D18-C18</f>
        <v/>
      </c>
      <c r="F18" s="22">
        <f>IF(AND(C18=0,D18=0),"—",IF(C18=0,"новая статья",E18/C18))</f>
        <v/>
      </c>
      <c r="G18" s="20" t="n">
        <v>55000000</v>
      </c>
      <c r="H18" s="20" t="n">
        <v>55000000</v>
      </c>
      <c r="I18" s="20" t="n">
        <v>10000000</v>
      </c>
      <c r="J18" s="21">
        <f>G18+H18+I18-E18</f>
        <v/>
      </c>
      <c r="K18" s="23" t="inlineStr">
        <is>
          <t>Увеличение объемов плиты и свай после изменения геологии и нагрузок. Индекс бетона, арматуры и оплаты труда на исходный объем. Сверхиндексная цена субподрядчика на сваи отнесена к иным причинам.</t>
        </is>
      </c>
      <c r="L18" s="24" t="inlineStr">
        <is>
          <t>Средний</t>
        </is>
      </c>
      <c r="M18" s="20" t="n">
        <v>20000000</v>
      </c>
      <c r="N18" s="23" t="inlineStr">
        <is>
          <t>Подземная часть законтрактована по единичным расценкам примерно на 70%. Остаток зависит от исполнительной геологии.</t>
        </is>
      </c>
      <c r="O18" s="24" t="inlineStr">
        <is>
          <t>А</t>
        </is>
      </c>
    </row>
    <row r="19" outlineLevel="2" ht="48" customHeight="1">
      <c r="A19" s="13" t="inlineStr">
        <is>
          <t>03.01.02</t>
        </is>
      </c>
      <c r="B19" s="16" t="inlineStr">
        <is>
          <t>Несущий каркас</t>
        </is>
      </c>
      <c r="C19" s="20" t="n">
        <v>980000000</v>
      </c>
      <c r="D19" s="20" t="n">
        <v>1120000000</v>
      </c>
      <c r="E19" s="21">
        <f>D19-C19</f>
        <v/>
      </c>
      <c r="F19" s="22">
        <f>IF(AND(C19=0,D19=0),"—",IF(C19=0,"новая статья",E19/C19))</f>
        <v/>
      </c>
      <c r="G19" s="20" t="n">
        <v>90000000</v>
      </c>
      <c r="H19" s="20" t="n">
        <v>40000000</v>
      </c>
      <c r="I19" s="20" t="n">
        <v>10000000</v>
      </c>
      <c r="J19" s="21">
        <f>G19+H19+I19-E19</f>
        <v/>
      </c>
      <c r="K19" s="23" t="inlineStr">
        <is>
          <t>Индекс арматуры, бетона, опалубки и оплаты труда на исходный объем каркаса. Прирост расхода арматуры по новой рабочей документации. Часть расценок выше индексированной цены исходного решения.</t>
        </is>
      </c>
      <c r="L19" s="24" t="inlineStr">
        <is>
          <t>Средний</t>
        </is>
      </c>
      <c r="M19" s="20" t="n">
        <v>25000000</v>
      </c>
      <c r="N19" s="23" t="inlineStr">
        <is>
          <t>Расценки зафиксированы до текущей отметки. Верхние этажи еще открыты.</t>
        </is>
      </c>
      <c r="O19" s="24" t="inlineStr">
        <is>
          <t>А</t>
        </is>
      </c>
    </row>
    <row r="20" outlineLevel="2" ht="48" customHeight="1">
      <c r="A20" s="13" t="inlineStr">
        <is>
          <t>03.01.03</t>
        </is>
      </c>
      <c r="B20" s="16" t="inlineStr">
        <is>
          <t>Стены и перегородки</t>
        </is>
      </c>
      <c r="C20" s="20" t="n">
        <v>310000000</v>
      </c>
      <c r="D20" s="20" t="n">
        <v>350000000</v>
      </c>
      <c r="E20" s="21">
        <f>D20-C20</f>
        <v/>
      </c>
      <c r="F20" s="22">
        <f>IF(AND(C20=0,D20=0),"—",IF(C20=0,"новая статья",E20/C20))</f>
        <v/>
      </c>
      <c r="G20" s="20" t="n">
        <v>28000000</v>
      </c>
      <c r="H20" s="20" t="n">
        <v>12000000</v>
      </c>
      <c r="I20" s="20" t="n">
        <v>0</v>
      </c>
      <c r="J20" s="21">
        <f>G20+H20+I20-E20</f>
        <v/>
      </c>
      <c r="K20" s="23" t="inlineStr">
        <is>
          <t>Индекс кладки и перегородок на исходный объем. Дополнительные перегородки по корректировке планировок. Отклонения цены от индекса нет.</t>
        </is>
      </c>
      <c r="L20" s="24" t="inlineStr">
        <is>
          <t>Низкий</t>
        </is>
      </c>
      <c r="M20" s="20" t="n">
        <v>0</v>
      </c>
      <c r="N20" s="23" t="inlineStr">
        <is>
          <t>Решения типовые, расценки законтрактованы.</t>
        </is>
      </c>
      <c r="O20" s="24" t="inlineStr">
        <is>
          <t>А</t>
        </is>
      </c>
    </row>
    <row r="21" outlineLevel="2" ht="48" customHeight="1">
      <c r="A21" s="13" t="inlineStr">
        <is>
          <t>03.01.04</t>
        </is>
      </c>
      <c r="B21" s="16" t="inlineStr">
        <is>
          <t>Фасады и кровля</t>
        </is>
      </c>
      <c r="C21" s="20" t="n">
        <v>540000000</v>
      </c>
      <c r="D21" s="20" t="n">
        <v>650000000</v>
      </c>
      <c r="E21" s="21">
        <f>D21-C21</f>
        <v/>
      </c>
      <c r="F21" s="22">
        <f>IF(AND(C21=0,D21=0),"—",IF(C21=0,"новая статья",E21/C21))</f>
        <v/>
      </c>
      <c r="G21" s="20" t="n">
        <v>48000000</v>
      </c>
      <c r="H21" s="20" t="n">
        <v>55000000</v>
      </c>
      <c r="I21" s="20" t="n">
        <v>7000000</v>
      </c>
      <c r="J21" s="21">
        <f>G21+H21+I21-E21</f>
        <v/>
      </c>
      <c r="K21" s="23" t="inlineStr">
        <is>
          <t>Замена штукатурного фасада на навесной вентилируемый и рост площади кровли оценены по рыночной цене нового решения. Индекс металла и утеплителя на исходное решение учтен отдельно. Логистическая надбавка поставщика сверх рынка отнесена к иным причинам.</t>
        </is>
      </c>
      <c r="L21" s="24" t="inlineStr">
        <is>
          <t>Высокий</t>
        </is>
      </c>
      <c r="M21" s="20" t="n">
        <v>45000000</v>
      </c>
      <c r="N21" s="23" t="inlineStr">
        <is>
          <t>Фасадный договор не подписан, узлы рабочей документации не утверждены, валютная составляющая фурнитуры открыта.</t>
        </is>
      </c>
      <c r="O21" s="24" t="inlineStr">
        <is>
          <t>Б</t>
        </is>
      </c>
    </row>
    <row r="22" outlineLevel="2" ht="48" customHeight="1">
      <c r="A22" s="13" t="inlineStr">
        <is>
          <t>03.01.05</t>
        </is>
      </c>
      <c r="B22" s="16" t="inlineStr">
        <is>
          <t>Окна, двери и светопрозрачные конструкции</t>
        </is>
      </c>
      <c r="C22" s="20" t="n">
        <v>280000000</v>
      </c>
      <c r="D22" s="20" t="n">
        <v>320000000</v>
      </c>
      <c r="E22" s="21">
        <f>D22-C22</f>
        <v/>
      </c>
      <c r="F22" s="22">
        <f>IF(AND(C22=0,D22=0),"—",IF(C22=0,"новая статья",E22/C22))</f>
        <v/>
      </c>
      <c r="G22" s="20" t="n">
        <v>25000000</v>
      </c>
      <c r="H22" s="20" t="n">
        <v>12000000</v>
      </c>
      <c r="I22" s="20" t="n">
        <v>3000000</v>
      </c>
      <c r="J22" s="21">
        <f>G22+H22+I22-E22</f>
        <v/>
      </c>
      <c r="K22" s="23" t="inlineStr">
        <is>
          <t>Индекс профилей и стеклопакетов на исходную спецификацию. Увеличение площади витражей по архитектурным решениям. Доплата за срочное изготовление части позиций отнесена к иным причинам.</t>
        </is>
      </c>
      <c r="L22" s="24" t="inlineStr">
        <is>
          <t>Средний</t>
        </is>
      </c>
      <c r="M22" s="20" t="n">
        <v>15000000</v>
      </c>
      <c r="N22" s="23" t="inlineStr">
        <is>
          <t>Спецификация согласована не полностью. Металл и стекло верхних этажей не закуплены.</t>
        </is>
      </c>
      <c r="O22" s="24" t="inlineStr">
        <is>
          <t>А</t>
        </is>
      </c>
    </row>
    <row r="23" outlineLevel="2" ht="48" customHeight="1">
      <c r="A23" s="13" t="inlineStr">
        <is>
          <t>03.01.06</t>
        </is>
      </c>
      <c r="B23" s="16" t="inlineStr">
        <is>
          <t>Внутренняя черновая отделка</t>
        </is>
      </c>
      <c r="C23" s="20" t="n">
        <v>220000000</v>
      </c>
      <c r="D23" s="20" t="n">
        <v>250000000</v>
      </c>
      <c r="E23" s="21">
        <f>D23-C23</f>
        <v/>
      </c>
      <c r="F23" s="22">
        <f>IF(AND(C23=0,D23=0),"—",IF(C23=0,"новая статья",E23/C23))</f>
        <v/>
      </c>
      <c r="G23" s="20" t="n">
        <v>20000000</v>
      </c>
      <c r="H23" s="20" t="n">
        <v>10000000</v>
      </c>
      <c r="I23" s="20" t="n">
        <v>0</v>
      </c>
      <c r="J23" s="21">
        <f>G23+H23+I23-E23</f>
        <v/>
      </c>
      <c r="K23" s="23" t="inlineStr">
        <is>
          <t>Индекс сухих смесей и оплаты труда. Дополнительные площади подготовки стен после смены типа фасада. Сверхиндексного отклонения цены нет.</t>
        </is>
      </c>
      <c r="L23" s="24" t="inlineStr">
        <is>
          <t>Средний</t>
        </is>
      </c>
      <c r="M23" s="20" t="n">
        <v>12000000</v>
      </c>
      <c r="N23" s="23" t="inlineStr">
        <is>
          <t>Отделка не законтрактована, объемы зависят от финальной рабочей документации.</t>
        </is>
      </c>
      <c r="O23" s="24" t="inlineStr">
        <is>
          <t>Б</t>
        </is>
      </c>
    </row>
    <row r="24" outlineLevel="2" ht="48" customHeight="1">
      <c r="A24" s="13" t="inlineStr">
        <is>
          <t>03.01.07</t>
        </is>
      </c>
      <c r="B24" s="16" t="inlineStr">
        <is>
          <t>Лифты и подъемное оборудование</t>
        </is>
      </c>
      <c r="C24" s="20" t="n">
        <v>150000000</v>
      </c>
      <c r="D24" s="20" t="n">
        <v>170000000</v>
      </c>
      <c r="E24" s="21">
        <f>D24-C24</f>
        <v/>
      </c>
      <c r="F24" s="22">
        <f>IF(AND(C24=0,D24=0),"—",IF(C24=0,"новая статья",E24/C24))</f>
        <v/>
      </c>
      <c r="G24" s="20" t="n">
        <v>14000000</v>
      </c>
      <c r="H24" s="20" t="n">
        <v>6000000</v>
      </c>
      <c r="I24" s="20" t="n">
        <v>0</v>
      </c>
      <c r="J24" s="21">
        <f>G24+H24+I24-E24</f>
        <v/>
      </c>
      <c r="K24" s="23" t="inlineStr">
        <is>
          <t>Индекс оборудования на исходную спецификацию. Добавление подъема и изменение грузоподъемности по новой планировке. Контрактная цена не превышает рыночный аналог.</t>
        </is>
      </c>
      <c r="L24" s="24" t="inlineStr">
        <is>
          <t>Средний</t>
        </is>
      </c>
      <c r="M24" s="20" t="n">
        <v>10000000</v>
      </c>
      <c r="N24" s="23" t="inlineStr">
        <is>
          <t>Договор поставки не заключен. Срок изготовления лежит на критическом пути ввода.</t>
        </is>
      </c>
      <c r="O24" s="24" t="inlineStr">
        <is>
          <t>Б</t>
        </is>
      </c>
    </row>
    <row r="25" outlineLevel="1" ht="48" customHeight="1">
      <c r="A25" s="10" t="inlineStr">
        <is>
          <t>03.02</t>
        </is>
      </c>
      <c r="B25" s="15" t="inlineStr">
        <is>
          <t>Внутренние инженерные системы</t>
        </is>
      </c>
      <c r="C25" s="18">
        <f>SUM(C26,C27,C28,C29,C30)</f>
        <v/>
      </c>
      <c r="D25" s="18">
        <f>SUM(D26,D27,D28,D29,D30)</f>
        <v/>
      </c>
      <c r="E25" s="18">
        <f>D25-C25</f>
        <v/>
      </c>
      <c r="F25" s="19">
        <f>IF(AND(C25=0,D25=0),"—",IF(C25=0,"новая статья",E25/C25))</f>
        <v/>
      </c>
      <c r="G25" s="18">
        <f>SUM(G26,G27,G28,G29,G30)</f>
        <v/>
      </c>
      <c r="H25" s="18">
        <f>SUM(H26,H27,H28,H29,H30)</f>
        <v/>
      </c>
      <c r="I25" s="18">
        <f>SUM(I26,I27,I28,I29,I30)</f>
        <v/>
      </c>
      <c r="J25" s="18">
        <f>G25+H25+I25-E25</f>
        <v/>
      </c>
      <c r="K25" s="6" t="inlineStr">
        <is>
          <t>Свертка вложенных строк.</t>
        </is>
      </c>
      <c r="L25" s="10" t="inlineStr">
        <is>
          <t>Высокий</t>
        </is>
      </c>
      <c r="M25" s="18">
        <f>SUM(M26,M27,M28,M29,M30)</f>
        <v/>
      </c>
      <c r="N25" s="6" t="inlineStr">
        <is>
          <t>Оценка агрегата — наихудшая существенная вложенная строка.</t>
        </is>
      </c>
      <c r="O25" s="10" t="n"/>
    </row>
    <row r="26" outlineLevel="2" ht="48" customHeight="1">
      <c r="A26" s="13" t="inlineStr">
        <is>
          <t>03.02.01</t>
        </is>
      </c>
      <c r="B26" s="16" t="inlineStr">
        <is>
          <t>Отопление, вентиляция и кондиционирование</t>
        </is>
      </c>
      <c r="C26" s="20" t="n">
        <v>380000000</v>
      </c>
      <c r="D26" s="20" t="n">
        <v>450000000</v>
      </c>
      <c r="E26" s="21">
        <f>D26-C26</f>
        <v/>
      </c>
      <c r="F26" s="22">
        <f>IF(AND(C26=0,D26=0),"—",IF(C26=0,"новая статья",E26/C26))</f>
        <v/>
      </c>
      <c r="G26" s="20" t="n">
        <v>30000000</v>
      </c>
      <c r="H26" s="20" t="n">
        <v>35000000</v>
      </c>
      <c r="I26" s="20" t="n">
        <v>5000000</v>
      </c>
      <c r="J26" s="21">
        <f>G26+H26+I26-E26</f>
        <v/>
      </c>
      <c r="K26" s="23" t="inlineStr">
        <is>
          <t>Индекс исходного состава оборудования относительно дефлятора и курсового допущения T0. Новая производительность и переразводка по измененным планировкам оценены по текущим рыночным аналогам. Превышение цены выбранного поставщика над аналогом отнесено к иным причинам.</t>
        </is>
      </c>
      <c r="L26" s="24" t="inlineStr">
        <is>
          <t>Высокий</t>
        </is>
      </c>
      <c r="M26" s="20" t="n">
        <v>40000000</v>
      </c>
      <c r="N26" s="23" t="inlineStr">
        <is>
          <t>Рабочая документация выпущена частично. Основное оборудование не законтрактовано.</t>
        </is>
      </c>
      <c r="O26" s="24" t="inlineStr">
        <is>
          <t>Б</t>
        </is>
      </c>
    </row>
    <row r="27" outlineLevel="2" ht="48" customHeight="1">
      <c r="A27" s="13" t="inlineStr">
        <is>
          <t>03.02.02</t>
        </is>
      </c>
      <c r="B27" s="16" t="inlineStr">
        <is>
          <t>Водоснабжение и водоотведение</t>
        </is>
      </c>
      <c r="C27" s="20" t="n">
        <v>260000000</v>
      </c>
      <c r="D27" s="20" t="n">
        <v>290000000</v>
      </c>
      <c r="E27" s="21">
        <f>D27-C27</f>
        <v/>
      </c>
      <c r="F27" s="22">
        <f>IF(AND(C27=0,D27=0),"—",IF(C27=0,"новая статья",E27/C27))</f>
        <v/>
      </c>
      <c r="G27" s="20" t="n">
        <v>22000000</v>
      </c>
      <c r="H27" s="20" t="n">
        <v>8000000</v>
      </c>
      <c r="I27" s="20" t="n">
        <v>0</v>
      </c>
      <c r="J27" s="21">
        <f>G27+H27+I27-E27</f>
        <v/>
      </c>
      <c r="K27" s="23" t="inlineStr">
        <is>
          <t>Индекс труб, арматуры и сантехнических приборов на исходную систему. Дополнительные санузлы и стояки по новым планировкам. Цена в бюджете равна индексированной рыночной цене.</t>
        </is>
      </c>
      <c r="L27" s="24" t="inlineStr">
        <is>
          <t>Средний</t>
        </is>
      </c>
      <c r="M27" s="20" t="n">
        <v>8000000</v>
      </c>
      <c r="N27" s="23" t="inlineStr">
        <is>
          <t>Система в основном типовая, но спецификация приборов не закрыта полностью.</t>
        </is>
      </c>
      <c r="O27" s="24" t="inlineStr">
        <is>
          <t>А</t>
        </is>
      </c>
    </row>
    <row r="28" outlineLevel="2" ht="48" customHeight="1">
      <c r="A28" s="13" t="inlineStr">
        <is>
          <t>03.02.03</t>
        </is>
      </c>
      <c r="B28" s="16" t="inlineStr">
        <is>
          <t>Электрооборудование, электроосвещение и молниезащита</t>
        </is>
      </c>
      <c r="C28" s="20" t="n">
        <v>420000000</v>
      </c>
      <c r="D28" s="20" t="n">
        <v>490000000</v>
      </c>
      <c r="E28" s="21">
        <f>D28-C28</f>
        <v/>
      </c>
      <c r="F28" s="22">
        <f>IF(AND(C28=0,D28=0),"—",IF(C28=0,"новая статья",E28/C28))</f>
        <v/>
      </c>
      <c r="G28" s="20" t="n">
        <v>35000000</v>
      </c>
      <c r="H28" s="20" t="n">
        <v>30000000</v>
      </c>
      <c r="I28" s="20" t="n">
        <v>5000000</v>
      </c>
      <c r="J28" s="21">
        <f>G28+H28+I28-E28</f>
        <v/>
      </c>
      <c r="K28" s="23" t="inlineStr">
        <is>
          <t>Индекс кабеля и щитового оборудования на исходную нагрузку. Рост установленной мощности и замена сечений по новой рабочей документации. Надбавка за срочную поставку отнесена к иным причинам.</t>
        </is>
      </c>
      <c r="L28" s="24" t="inlineStr">
        <is>
          <t>Высокий</t>
        </is>
      </c>
      <c r="M28" s="20" t="n">
        <v>35000000</v>
      </c>
      <c r="N28" s="23" t="inlineStr">
        <is>
          <t>Нагрузка не подтверждена окончательными техническими условиями. Спецификация щитов открыта.</t>
        </is>
      </c>
      <c r="O28" s="24" t="inlineStr">
        <is>
          <t>Б</t>
        </is>
      </c>
    </row>
    <row r="29" outlineLevel="2" ht="48" customHeight="1">
      <c r="A29" s="13" t="inlineStr">
        <is>
          <t>03.02.04</t>
        </is>
      </c>
      <c r="B29" s="16" t="inlineStr">
        <is>
          <t>Сети связи, АПС, СОУЭ, СКУД, автоматизация и диспетчеризация</t>
        </is>
      </c>
      <c r="C29" s="20" t="n">
        <v>210000000</v>
      </c>
      <c r="D29" s="20" t="n">
        <v>250000000</v>
      </c>
      <c r="E29" s="21">
        <f>D29-C29</f>
        <v/>
      </c>
      <c r="F29" s="22">
        <f>IF(AND(C29=0,D29=0),"—",IF(C29=0,"новая статья",E29/C29))</f>
        <v/>
      </c>
      <c r="G29" s="20" t="n">
        <v>15000000</v>
      </c>
      <c r="H29" s="20" t="n">
        <v>20000000</v>
      </c>
      <c r="I29" s="20" t="n">
        <v>5000000</v>
      </c>
      <c r="J29" s="21">
        <f>G29+H29+I29-E29</f>
        <v/>
      </c>
      <c r="K29" s="23" t="inlineStr">
        <is>
          <t>Расширение состава систем относительно исходного задания на проектирование. Индекс на исходный комплект. Надбавка вендора сверх двух независимых аналогов отнесена к иным причинам.</t>
        </is>
      </c>
      <c r="L29" s="24" t="inlineStr">
        <is>
          <t>Высокий</t>
        </is>
      </c>
      <c r="M29" s="20" t="n">
        <v>25000000</v>
      </c>
      <c r="N29" s="23" t="inlineStr">
        <is>
          <t>Задание на слаботочные системы пересматривается. Договоры не заключены.</t>
        </is>
      </c>
      <c r="O29" s="24" t="inlineStr">
        <is>
          <t>В</t>
        </is>
      </c>
    </row>
    <row r="30" outlineLevel="2" ht="48" customHeight="1">
      <c r="A30" s="13" t="inlineStr">
        <is>
          <t>03.02.05</t>
        </is>
      </c>
      <c r="B30" s="16" t="inlineStr">
        <is>
          <t>Системы противопожарной защиты и прочие внутренние системы</t>
        </is>
      </c>
      <c r="C30" s="20" t="n">
        <v>130000000</v>
      </c>
      <c r="D30" s="20" t="n">
        <v>140000000</v>
      </c>
      <c r="E30" s="21">
        <f>D30-C30</f>
        <v/>
      </c>
      <c r="F30" s="22">
        <f>IF(AND(C30=0,D30=0),"—",IF(C30=0,"новая статья",E30/C30))</f>
        <v/>
      </c>
      <c r="G30" s="20" t="n">
        <v>8000000</v>
      </c>
      <c r="H30" s="20" t="n">
        <v>2000000</v>
      </c>
      <c r="I30" s="20" t="n">
        <v>0</v>
      </c>
      <c r="J30" s="21">
        <f>G30+H30+I30-E30</f>
        <v/>
      </c>
      <c r="K30" s="23" t="inlineStr">
        <is>
          <t>Индекс на исходные системы. Локальное расширение зон покрытия по новой планировке.</t>
        </is>
      </c>
      <c r="L30" s="24" t="inlineStr">
        <is>
          <t>Средний</t>
        </is>
      </c>
      <c r="M30" s="20" t="n">
        <v>6000000</v>
      </c>
      <c r="N30" s="23" t="inlineStr">
        <is>
          <t>Состав зависит от финальной редакции пожарного раздела.</t>
        </is>
      </c>
      <c r="O30" s="24" t="inlineStr">
        <is>
          <t>Б</t>
        </is>
      </c>
    </row>
    <row r="31" outlineLevel="1" ht="48" customHeight="1">
      <c r="A31" s="10" t="inlineStr">
        <is>
          <t>03.03</t>
        </is>
      </c>
      <c r="B31" s="15" t="inlineStr">
        <is>
          <t>Наружные инженерные сети и благоустройство</t>
        </is>
      </c>
      <c r="C31" s="18">
        <f>SUM(C32,C33,C34,C35,C36)</f>
        <v/>
      </c>
      <c r="D31" s="18">
        <f>SUM(D32,D33,D34,D35,D36)</f>
        <v/>
      </c>
      <c r="E31" s="18">
        <f>D31-C31</f>
        <v/>
      </c>
      <c r="F31" s="19">
        <f>IF(AND(C31=0,D31=0),"—",IF(C31=0,"новая статья",E31/C31))</f>
        <v/>
      </c>
      <c r="G31" s="18">
        <f>SUM(G32,G33,G34,G35,G36)</f>
        <v/>
      </c>
      <c r="H31" s="18">
        <f>SUM(H32,H33,H34,H35,H36)</f>
        <v/>
      </c>
      <c r="I31" s="18">
        <f>SUM(I32,I33,I34,I35,I36)</f>
        <v/>
      </c>
      <c r="J31" s="18">
        <f>G31+H31+I31-E31</f>
        <v/>
      </c>
      <c r="K31" s="6" t="inlineStr">
        <is>
          <t>Свертка вложенных строк.</t>
        </is>
      </c>
      <c r="L31" s="10" t="inlineStr">
        <is>
          <t>Высокий</t>
        </is>
      </c>
      <c r="M31" s="18">
        <f>SUM(M32,M33,M34,M35,M36)</f>
        <v/>
      </c>
      <c r="N31" s="6" t="inlineStr">
        <is>
          <t>Оценка агрегата — наихудшая существенная вложенная строка.</t>
        </is>
      </c>
      <c r="O31" s="10" t="n"/>
    </row>
    <row r="32" outlineLevel="2" ht="48" customHeight="1">
      <c r="A32" s="13" t="inlineStr">
        <is>
          <t>03.03.01</t>
        </is>
      </c>
      <c r="B32" s="16" t="inlineStr">
        <is>
          <t>Наружные сети водоснабжения, водоотведения и ливневой канализации</t>
        </is>
      </c>
      <c r="C32" s="20" t="n">
        <v>180000000</v>
      </c>
      <c r="D32" s="20" t="n">
        <v>210000000</v>
      </c>
      <c r="E32" s="21">
        <f>D32-C32</f>
        <v/>
      </c>
      <c r="F32" s="22">
        <f>IF(AND(C32=0,D32=0),"—",IF(C32=0,"новая статья",E32/C32))</f>
        <v/>
      </c>
      <c r="G32" s="20" t="n">
        <v>15000000</v>
      </c>
      <c r="H32" s="20" t="n">
        <v>12000000</v>
      </c>
      <c r="I32" s="20" t="n">
        <v>3000000</v>
      </c>
      <c r="J32" s="21">
        <f>G32+H32+I32-E32</f>
        <v/>
      </c>
      <c r="K32" s="23" t="inlineStr">
        <is>
          <t>Индекс земляных работ и труб на исходную трассу. Удлинение трасс по новому генеральному плану. Дополнительные согласования прокола, не вытекающие из проекта и из индекса, отнесены к иным причинам.</t>
        </is>
      </c>
      <c r="L32" s="24" t="inlineStr">
        <is>
          <t>Средний</t>
        </is>
      </c>
      <c r="M32" s="20" t="n">
        <v>12000000</v>
      </c>
      <c r="N32" s="23" t="inlineStr">
        <is>
          <t>Часть трасс не согласована с балансодержателями.</t>
        </is>
      </c>
      <c r="O32" s="24" t="inlineStr">
        <is>
          <t>Б</t>
        </is>
      </c>
    </row>
    <row r="33" outlineLevel="2" ht="48" customHeight="1">
      <c r="A33" s="13" t="inlineStr">
        <is>
          <t>03.03.02</t>
        </is>
      </c>
      <c r="B33" s="16" t="inlineStr">
        <is>
          <t>Наружные сети теплоснабжения</t>
        </is>
      </c>
      <c r="C33" s="20" t="n">
        <v>90000000</v>
      </c>
      <c r="D33" s="20" t="n">
        <v>100000000</v>
      </c>
      <c r="E33" s="21">
        <f>D33-C33</f>
        <v/>
      </c>
      <c r="F33" s="22">
        <f>IF(AND(C33=0,D33=0),"—",IF(C33=0,"новая статья",E33/C33))</f>
        <v/>
      </c>
      <c r="G33" s="20" t="n">
        <v>7000000</v>
      </c>
      <c r="H33" s="20" t="n">
        <v>3000000</v>
      </c>
      <c r="I33" s="20" t="n">
        <v>0</v>
      </c>
      <c r="J33" s="21">
        <f>G33+H33+I33-E33</f>
        <v/>
      </c>
      <c r="K33" s="23" t="inlineStr">
        <is>
          <t>Индекс на исходную теплосеть. Небольшое увеличение диаметра по пересчету нагрузок.</t>
        </is>
      </c>
      <c r="L33" s="24" t="inlineStr">
        <is>
          <t>Низкий</t>
        </is>
      </c>
      <c r="M33" s="20" t="n">
        <v>0</v>
      </c>
      <c r="N33" s="23" t="inlineStr">
        <is>
          <t>Технические условия получены, трасса согласована.</t>
        </is>
      </c>
      <c r="O33" s="24" t="inlineStr">
        <is>
          <t>А</t>
        </is>
      </c>
    </row>
    <row r="34" outlineLevel="2" ht="48" customHeight="1">
      <c r="A34" s="13" t="inlineStr">
        <is>
          <t>03.03.03</t>
        </is>
      </c>
      <c r="B34" s="16" t="inlineStr">
        <is>
          <t>Наружное электроснабжение и трансформаторные подстанции</t>
        </is>
      </c>
      <c r="C34" s="20" t="n">
        <v>200000000</v>
      </c>
      <c r="D34" s="20" t="n">
        <v>270000000</v>
      </c>
      <c r="E34" s="21">
        <f>D34-C34</f>
        <v/>
      </c>
      <c r="F34" s="22">
        <f>IF(AND(C34=0,D34=0),"—",IF(C34=0,"новая статья",E34/C34))</f>
        <v/>
      </c>
      <c r="G34" s="20" t="n">
        <v>16000000</v>
      </c>
      <c r="H34" s="20" t="n">
        <v>35000000</v>
      </c>
      <c r="I34" s="20" t="n">
        <v>19000000</v>
      </c>
      <c r="J34" s="21">
        <f>G34+H34+I34-E34</f>
        <v/>
      </c>
      <c r="K34" s="23" t="inlineStr">
        <is>
          <t>Индекс тарифа на исходную мощность относительно дефлятора T0. Дополнительная мощность по новым ТЭП вместе с платой за присоединение этой мощности по действующему тарифу отнесена к изменениям ПСД. Удлинение трассы по требованию сетевой организации отнесено к иным причинам.</t>
        </is>
      </c>
      <c r="L34" s="24" t="inlineStr">
        <is>
          <t>Высокий</t>
        </is>
      </c>
      <c r="M34" s="20" t="n">
        <v>40000000</v>
      </c>
      <c r="N34" s="23" t="inlineStr">
        <is>
          <t>Договор технологического присоединения в редакции T1 не подписан. Тариф и трасса могут измениться до оплаты.</t>
        </is>
      </c>
      <c r="O34" s="24" t="inlineStr">
        <is>
          <t>Б</t>
        </is>
      </c>
    </row>
    <row r="35" outlineLevel="2" ht="48" customHeight="1">
      <c r="A35" s="13" t="inlineStr">
        <is>
          <t>03.03.04</t>
        </is>
      </c>
      <c r="B35" s="16" t="inlineStr">
        <is>
          <t>Наружные сети связи</t>
        </is>
      </c>
      <c r="C35" s="20" t="n">
        <v>40000000</v>
      </c>
      <c r="D35" s="20" t="n">
        <v>48000000</v>
      </c>
      <c r="E35" s="21">
        <f>D35-C35</f>
        <v/>
      </c>
      <c r="F35" s="22">
        <f>IF(AND(C35=0,D35=0),"—",IF(C35=0,"новая статья",E35/C35))</f>
        <v/>
      </c>
      <c r="G35" s="20" t="n">
        <v>3000000</v>
      </c>
      <c r="H35" s="20" t="n">
        <v>4000000</v>
      </c>
      <c r="I35" s="20" t="n">
        <v>1000000</v>
      </c>
      <c r="J35" s="21">
        <f>G35+H35+I35-E35</f>
        <v/>
      </c>
      <c r="K35" s="23" t="inlineStr">
        <is>
          <t>Индекс на исходные каналы. Дополнительные вводы под расширенный состав сетей связи. Разовая плата оператора сверх тарифа, заложенного дефлятором, отнесена к иным причинам.</t>
        </is>
      </c>
      <c r="L35" s="24" t="inlineStr">
        <is>
          <t>Низкий</t>
        </is>
      </c>
      <c r="M35" s="20" t="n">
        <v>2000000</v>
      </c>
      <c r="N35" s="23" t="inlineStr">
        <is>
          <t>Объем небольшой и технически определен.</t>
        </is>
      </c>
      <c r="O35" s="24" t="inlineStr">
        <is>
          <t>Б</t>
        </is>
      </c>
    </row>
    <row r="36" outlineLevel="2" ht="48" customHeight="1">
      <c r="A36" s="13" t="inlineStr">
        <is>
          <t>03.03.05</t>
        </is>
      </c>
      <c r="B36" s="16" t="inlineStr">
        <is>
          <t>Дороги, благоустройство и малые архитектурные формы</t>
        </is>
      </c>
      <c r="C36" s="20" t="n">
        <v>190000000</v>
      </c>
      <c r="D36" s="20" t="n">
        <v>232000000</v>
      </c>
      <c r="E36" s="21">
        <f>D36-C36</f>
        <v/>
      </c>
      <c r="F36" s="22">
        <f>IF(AND(C36=0,D36=0),"—",IF(C36=0,"новая статья",E36/C36))</f>
        <v/>
      </c>
      <c r="G36" s="20" t="n">
        <v>14000000</v>
      </c>
      <c r="H36" s="20" t="n">
        <v>16000000</v>
      </c>
      <c r="I36" s="20" t="n">
        <v>12000000</v>
      </c>
      <c r="J36" s="21">
        <f>G36+H36+I36-E36</f>
        <v/>
      </c>
      <c r="K36" s="23" t="inlineStr">
        <is>
          <t>Индекс покрытий и озеленения исходного генерального плана. Рост площади твердых покрытий и малых форм по новому решению. Перенос работ на следующий сезон и зимнее удорожание отнесены к иным причинам.</t>
        </is>
      </c>
      <c r="L36" s="24" t="inlineStr">
        <is>
          <t>Высокий</t>
        </is>
      </c>
      <c r="M36" s="20" t="n">
        <v>20000000</v>
      </c>
      <c r="N36" s="23" t="inlineStr">
        <is>
          <t>Проект благоустройства не заморожен. Работы стоят в конце графика и зависят от сезона.</t>
        </is>
      </c>
      <c r="O36" s="24" t="inlineStr">
        <is>
          <t>В</t>
        </is>
      </c>
    </row>
    <row r="37" outlineLevel="1" ht="48" customHeight="1">
      <c r="A37" s="13" t="inlineStr">
        <is>
          <t>03.04</t>
        </is>
      </c>
      <c r="B37" s="14" t="inlineStr">
        <is>
          <t>Технологическое оборудование и пусконаладка</t>
        </is>
      </c>
      <c r="C37" s="20" t="n">
        <v>0</v>
      </c>
      <c r="D37" s="20" t="n">
        <v>0</v>
      </c>
      <c r="E37" s="21">
        <f>D37-C37</f>
        <v/>
      </c>
      <c r="F37" s="22">
        <f>IF(AND(C37=0,D37=0),"—",IF(C37=0,"новая статья",E37/C37))</f>
        <v/>
      </c>
      <c r="G37" s="20" t="n">
        <v>0</v>
      </c>
      <c r="H37" s="20" t="n">
        <v>0</v>
      </c>
      <c r="I37" s="20" t="n">
        <v>0</v>
      </c>
      <c r="J37" s="21">
        <f>G37+H37+I37-E37</f>
        <v/>
      </c>
      <c r="K37" s="23" t="inlineStr">
        <is>
          <t>В условном периметре технологическое оборудование отсутствует. Строка сохраняется, чтобы классификатор не ломался на промышленном объекте.</t>
        </is>
      </c>
      <c r="L37" s="24" t="inlineStr">
        <is>
          <t>Низкий</t>
        </is>
      </c>
      <c r="M37" s="20" t="n">
        <v>0</v>
      </c>
      <c r="N37" s="23" t="inlineStr">
        <is>
          <t>Строка не используется. При появлении технологии риск оценивается отдельно.</t>
        </is>
      </c>
      <c r="O37" s="24" t="inlineStr">
        <is>
          <t>А</t>
        </is>
      </c>
    </row>
    <row r="38" ht="48" customHeight="1">
      <c r="A38" s="10" t="inlineStr">
        <is>
          <t>04</t>
        </is>
      </c>
      <c r="B38" s="6" t="inlineStr">
        <is>
          <t>Затраты на управление проектом</t>
        </is>
      </c>
      <c r="C38" s="18">
        <f>SUM(C39,C40,C41)</f>
        <v/>
      </c>
      <c r="D38" s="18">
        <f>SUM(D39,D40,D41)</f>
        <v/>
      </c>
      <c r="E38" s="18">
        <f>D38-C38</f>
        <v/>
      </c>
      <c r="F38" s="19">
        <f>IF(AND(C38=0,D38=0),"—",IF(C38=0,"новая статья",E38/C38))</f>
        <v/>
      </c>
      <c r="G38" s="18">
        <f>SUM(G39,G40,G41)</f>
        <v/>
      </c>
      <c r="H38" s="18">
        <f>SUM(H39,H40,H41)</f>
        <v/>
      </c>
      <c r="I38" s="18">
        <f>SUM(I39,I40,I41)</f>
        <v/>
      </c>
      <c r="J38" s="18">
        <f>G38+H38+I38-E38</f>
        <v/>
      </c>
      <c r="K38" s="6" t="inlineStr">
        <is>
          <t>Свертка вложенных строк.</t>
        </is>
      </c>
      <c r="L38" s="10" t="inlineStr">
        <is>
          <t>Высокий</t>
        </is>
      </c>
      <c r="M38" s="18">
        <f>SUM(M39,M40,M41)</f>
        <v/>
      </c>
      <c r="N38" s="6" t="inlineStr">
        <is>
          <t>Оценка агрегата — наихудшая существенная вложенная строка.</t>
        </is>
      </c>
      <c r="O38" s="10" t="n"/>
    </row>
    <row r="39" outlineLevel="1" ht="48" customHeight="1">
      <c r="A39" s="13" t="inlineStr">
        <is>
          <t>04.01</t>
        </is>
      </c>
      <c r="B39" s="14" t="inlineStr">
        <is>
          <t>Служба заказчика и технический заказчик</t>
        </is>
      </c>
      <c r="C39" s="20" t="n">
        <v>210000000</v>
      </c>
      <c r="D39" s="20" t="n">
        <v>270000000</v>
      </c>
      <c r="E39" s="21">
        <f>D39-C39</f>
        <v/>
      </c>
      <c r="F39" s="22">
        <f>IF(AND(C39=0,D39=0),"—",IF(C39=0,"новая статья",E39/C39))</f>
        <v/>
      </c>
      <c r="G39" s="20" t="n">
        <v>14000000</v>
      </c>
      <c r="H39" s="20" t="n">
        <v>10000000</v>
      </c>
      <c r="I39" s="20" t="n">
        <v>36000000</v>
      </c>
      <c r="J39" s="21">
        <f>G39+H39+I39-E39</f>
        <v/>
      </c>
      <c r="K39" s="23" t="inlineStr">
        <is>
          <t>Индексация оплаты труда исходной численности на исходный срок. Дополнительная численность под новые разделы фасадов и наружных сетей. Содержание исходной команды на месяцы сверх графика T0.</t>
        </is>
      </c>
      <c r="L39" s="24" t="inlineStr">
        <is>
          <t>Высокий</t>
        </is>
      </c>
      <c r="M39" s="20" t="n">
        <v>30000000</v>
      </c>
      <c r="N39" s="23" t="inlineStr">
        <is>
          <t>Срок ввода в модели T1 уже сдвинут. Следующий сдвиг увеличивает помесячные затраты почти линейно. Резерв на этот сдвиг в строке не заложен.</t>
        </is>
      </c>
      <c r="O39" s="24" t="inlineStr">
        <is>
          <t>А</t>
        </is>
      </c>
    </row>
    <row r="40" outlineLevel="1" ht="48" customHeight="1">
      <c r="A40" s="13" t="inlineStr">
        <is>
          <t>04.02</t>
        </is>
      </c>
      <c r="B40" s="14" t="inlineStr">
        <is>
          <t>Вознаграждение генподрядчика либо управляющего строительством</t>
        </is>
      </c>
      <c r="C40" s="20" t="n">
        <v>180000000</v>
      </c>
      <c r="D40" s="20" t="n">
        <v>210000000</v>
      </c>
      <c r="E40" s="21">
        <f>D40-C40</f>
        <v/>
      </c>
      <c r="F40" s="22">
        <f>IF(AND(C40=0,D40=0),"—",IF(C40=0,"новая статья",E40/C40))</f>
        <v/>
      </c>
      <c r="G40" s="20" t="n">
        <v>12000000</v>
      </c>
      <c r="H40" s="20" t="n">
        <v>12000000</v>
      </c>
      <c r="I40" s="20" t="n">
        <v>6000000</v>
      </c>
      <c r="J40" s="21">
        <f>G40+H40+I40-E40</f>
        <v/>
      </c>
      <c r="K40" s="23" t="inlineStr">
        <is>
          <t>Процент генподряда по исходной ставке на инфляционную и проектную части базы СМР. Изменение ставки и возмещаемые общеплощадочные затраты сверх процента отнесены к иным причинам. В модели без генподрядчика в строку ставится плата управляющему, а не пустое место без объяснения.</t>
        </is>
      </c>
      <c r="L40" s="24" t="inlineStr">
        <is>
          <t>Средний</t>
        </is>
      </c>
      <c r="M40" s="20" t="n">
        <v>8000000</v>
      </c>
      <c r="N40" s="23" t="inlineStr">
        <is>
          <t>Ставка процента зафиксирована. Возмещаемая часть при пролонгации остается открытой.</t>
        </is>
      </c>
      <c r="O40" s="24" t="inlineStr">
        <is>
          <t>А</t>
        </is>
      </c>
    </row>
    <row r="41" outlineLevel="1" ht="48" customHeight="1">
      <c r="A41" s="13" t="inlineStr">
        <is>
          <t>04.03</t>
        </is>
      </c>
      <c r="B41" s="14" t="inlineStr">
        <is>
          <t>Строительный контроль, охрана труда, качество и охрана площадки</t>
        </is>
      </c>
      <c r="C41" s="20" t="n">
        <v>90000000</v>
      </c>
      <c r="D41" s="20" t="n">
        <v>110000000</v>
      </c>
      <c r="E41" s="21">
        <f>D41-C41</f>
        <v/>
      </c>
      <c r="F41" s="22">
        <f>IF(AND(C41=0,D41=0),"—",IF(C41=0,"новая статья",E41/C41))</f>
        <v/>
      </c>
      <c r="G41" s="20" t="n">
        <v>4000000</v>
      </c>
      <c r="H41" s="20" t="n">
        <v>3000000</v>
      </c>
      <c r="I41" s="20" t="n">
        <v>13000000</v>
      </c>
      <c r="J41" s="21">
        <f>G41+H41+I41-E41</f>
        <v/>
      </c>
      <c r="K41" s="23" t="inlineStr">
        <is>
          <t>Индекс ставок строительного контроля на исходный срок. Расширение программы контроля под новые системы. Охрана и содержание надзора на месяцы пролонгации.</t>
        </is>
      </c>
      <c r="L41" s="24" t="inlineStr">
        <is>
          <t>Высокий</t>
        </is>
      </c>
      <c r="M41" s="20" t="n">
        <v>12000000</v>
      </c>
      <c r="N41" s="23" t="inlineStr">
        <is>
          <t>Затраты длятся до фактического ввода, а не до плановой даты T1.</t>
        </is>
      </c>
      <c r="O41" s="24" t="inlineStr">
        <is>
          <t>Б</t>
        </is>
      </c>
    </row>
    <row r="42" ht="48" customHeight="1">
      <c r="A42" s="10" t="inlineStr">
        <is>
          <t>05</t>
        </is>
      </c>
      <c r="B42" s="6" t="inlineStr">
        <is>
          <t>Коммерческие и маркетинговые расходы</t>
        </is>
      </c>
      <c r="C42" s="18">
        <f>SUM(C43,C44,C45)</f>
        <v/>
      </c>
      <c r="D42" s="18">
        <f>SUM(D43,D44,D45)</f>
        <v/>
      </c>
      <c r="E42" s="18">
        <f>D42-C42</f>
        <v/>
      </c>
      <c r="F42" s="19">
        <f>IF(AND(C42=0,D42=0),"—",IF(C42=0,"новая статья",E42/C42))</f>
        <v/>
      </c>
      <c r="G42" s="18">
        <f>SUM(G43,G44,G45)</f>
        <v/>
      </c>
      <c r="H42" s="18">
        <f>SUM(H43,H44,H45)</f>
        <v/>
      </c>
      <c r="I42" s="18">
        <f>SUM(I43,I44,I45)</f>
        <v/>
      </c>
      <c r="J42" s="18">
        <f>G42+H42+I42-E42</f>
        <v/>
      </c>
      <c r="K42" s="6" t="inlineStr">
        <is>
          <t>Свертка вложенных строк.</t>
        </is>
      </c>
      <c r="L42" s="10" t="inlineStr">
        <is>
          <t>Средний</t>
        </is>
      </c>
      <c r="M42" s="18">
        <f>SUM(M43,M44,M45)</f>
        <v/>
      </c>
      <c r="N42" s="6" t="inlineStr">
        <is>
          <t>Оценка агрегата — наихудшая существенная вложенная строка.</t>
        </is>
      </c>
      <c r="O42" s="10" t="n"/>
    </row>
    <row r="43" outlineLevel="1" ht="48" customHeight="1">
      <c r="A43" s="13" t="inlineStr">
        <is>
          <t>05.01</t>
        </is>
      </c>
      <c r="B43" s="14" t="inlineStr">
        <is>
          <t>Продвижение и реклама</t>
        </is>
      </c>
      <c r="C43" s="20" t="n">
        <v>80000000</v>
      </c>
      <c r="D43" s="20" t="n">
        <v>95000000</v>
      </c>
      <c r="E43" s="21">
        <f>D43-C43</f>
        <v/>
      </c>
      <c r="F43" s="22">
        <f>IF(AND(C43=0,D43=0),"—",IF(C43=0,"новая статья",E43/C43))</f>
        <v/>
      </c>
      <c r="G43" s="20" t="n">
        <v>6000000</v>
      </c>
      <c r="H43" s="20" t="n">
        <v>0</v>
      </c>
      <c r="I43" s="20" t="n">
        <v>9000000</v>
      </c>
      <c r="J43" s="21">
        <f>G43+H43+I43-E43</f>
        <v/>
      </c>
      <c r="K43" s="23" t="inlineStr">
        <is>
          <t>Медиаинфляция исходного плана размещений относительно дефлятора T0. Удлинение кампании и дополнительные каналы. Изменение продукта на медиаплан не повлияло, поэтому фактор ПСД равен нулю.</t>
        </is>
      </c>
      <c r="L43" s="24" t="inlineStr">
        <is>
          <t>Средний</t>
        </is>
      </c>
      <c r="M43" s="20" t="n">
        <v>6000000</v>
      </c>
      <c r="N43" s="23" t="inlineStr">
        <is>
          <t>Бюджет привязан к темпу продаж. Строительный дефлятор к этой строке не применяется.</t>
        </is>
      </c>
      <c r="O43" s="24" t="inlineStr">
        <is>
          <t>Б</t>
        </is>
      </c>
    </row>
    <row r="44" outlineLevel="1" ht="48" customHeight="1">
      <c r="A44" s="13" t="inlineStr">
        <is>
          <t>05.02</t>
        </is>
      </c>
      <c r="B44" s="14" t="inlineStr">
        <is>
          <t>Офис продаж и демонстрационные площади</t>
        </is>
      </c>
      <c r="C44" s="20" t="n">
        <v>50000000</v>
      </c>
      <c r="D44" s="20" t="n">
        <v>55000000</v>
      </c>
      <c r="E44" s="21">
        <f>D44-C44</f>
        <v/>
      </c>
      <c r="F44" s="22">
        <f>IF(AND(C44=0,D44=0),"—",IF(C44=0,"новая статья",E44/C44))</f>
        <v/>
      </c>
      <c r="G44" s="20" t="n">
        <v>3000000</v>
      </c>
      <c r="H44" s="20" t="n">
        <v>0</v>
      </c>
      <c r="I44" s="20" t="n">
        <v>2000000</v>
      </c>
      <c r="J44" s="21">
        <f>G44+H44+I44-E44</f>
        <v/>
      </c>
      <c r="K44" s="23" t="inlineStr">
        <is>
          <t>Индекс стоимости исходного шоурума. Сверхиндексная отделка принята коммерческим решением и не зафиксирована как изменение проектной документации продаваемого объекта. Строительная часть шоурума в группу 03 повторно не включена.</t>
        </is>
      </c>
      <c r="L44" s="24" t="inlineStr">
        <is>
          <t>Низкий</t>
        </is>
      </c>
      <c r="M44" s="20" t="n">
        <v>0</v>
      </c>
      <c r="N44" s="23" t="inlineStr">
        <is>
          <t>Объект показа завершен.</t>
        </is>
      </c>
      <c r="O44" s="24" t="inlineStr">
        <is>
          <t>Б</t>
        </is>
      </c>
    </row>
    <row r="45" outlineLevel="1" ht="48" customHeight="1">
      <c r="A45" s="13" t="inlineStr">
        <is>
          <t>05.03</t>
        </is>
      </c>
      <c r="B45" s="14" t="inlineStr">
        <is>
          <t>Вознаграждение брокеров и каналов продаж</t>
        </is>
      </c>
      <c r="C45" s="20" t="n">
        <v>90000000</v>
      </c>
      <c r="D45" s="20" t="n">
        <v>100000000</v>
      </c>
      <c r="E45" s="21">
        <f>D45-C45</f>
        <v/>
      </c>
      <c r="F45" s="22">
        <f>IF(AND(C45=0,D45=0),"—",IF(C45=0,"новая статья",E45/C45))</f>
        <v/>
      </c>
      <c r="G45" s="20" t="n">
        <v>3000000</v>
      </c>
      <c r="H45" s="20" t="n">
        <v>0</v>
      </c>
      <c r="I45" s="20" t="n">
        <v>7000000</v>
      </c>
      <c r="J45" s="21">
        <f>G45+H45+I45-E45</f>
        <v/>
      </c>
      <c r="K45" s="23" t="inlineStr">
        <is>
          <t>Ценовой индекс сопровождения исходного объема. Рост ставки комиссии и эффект более высокого прайса. Продаваемая площадь не изменилась, поэтому фактор ПСД равен нулю.</t>
        </is>
      </c>
      <c r="L45" s="24" t="inlineStr">
        <is>
          <t>Средний</t>
        </is>
      </c>
      <c r="M45" s="20" t="n">
        <v>5000000</v>
      </c>
      <c r="N45" s="23" t="inlineStr">
        <is>
          <t>Комиссия платится с фактических регистраций до выбора остатка.</t>
        </is>
      </c>
      <c r="O45" s="24" t="inlineStr">
        <is>
          <t>А</t>
        </is>
      </c>
    </row>
    <row r="46" ht="48" customHeight="1">
      <c r="A46" s="10" t="inlineStr">
        <is>
          <t>06</t>
        </is>
      </c>
      <c r="B46" s="6" t="inlineStr">
        <is>
          <t>Финансовые и прочие затраты</t>
        </is>
      </c>
      <c r="C46" s="18">
        <f>SUM(C47,C48,C49)</f>
        <v/>
      </c>
      <c r="D46" s="18">
        <f>SUM(D47,D48,D49)</f>
        <v/>
      </c>
      <c r="E46" s="18">
        <f>D46-C46</f>
        <v/>
      </c>
      <c r="F46" s="19">
        <f>IF(AND(C46=0,D46=0),"—",IF(C46=0,"новая статья",E46/C46))</f>
        <v/>
      </c>
      <c r="G46" s="18">
        <f>SUM(G47,G48,G49)</f>
        <v/>
      </c>
      <c r="H46" s="18">
        <f>SUM(H47,H48,H49)</f>
        <v/>
      </c>
      <c r="I46" s="18">
        <f>SUM(I47,I48,I49)</f>
        <v/>
      </c>
      <c r="J46" s="18">
        <f>G46+H46+I46-E46</f>
        <v/>
      </c>
      <c r="K46" s="6" t="inlineStr">
        <is>
          <t>Свертка вложенных строк.</t>
        </is>
      </c>
      <c r="L46" s="10" t="inlineStr">
        <is>
          <t>Высокий</t>
        </is>
      </c>
      <c r="M46" s="18">
        <f>SUM(M47,M48,M49)</f>
        <v/>
      </c>
      <c r="N46" s="6" t="inlineStr">
        <is>
          <t>Оценка агрегата — наихудшая существенная вложенная строка.</t>
        </is>
      </c>
      <c r="O46" s="10" t="n"/>
    </row>
    <row r="47" outlineLevel="1" ht="48" customHeight="1">
      <c r="A47" s="13" t="inlineStr">
        <is>
          <t>06.01</t>
        </is>
      </c>
      <c r="B47" s="14" t="inlineStr">
        <is>
          <t>Страхование</t>
        </is>
      </c>
      <c r="C47" s="20" t="n">
        <v>70000000</v>
      </c>
      <c r="D47" s="20" t="n">
        <v>78000000</v>
      </c>
      <c r="E47" s="21">
        <f>D47-C47</f>
        <v/>
      </c>
      <c r="F47" s="22">
        <f>IF(AND(C47=0,D47=0),"—",IF(C47=0,"новая статья",E47/C47))</f>
        <v/>
      </c>
      <c r="G47" s="20" t="n">
        <v>3000000</v>
      </c>
      <c r="H47" s="20" t="n">
        <v>2000000</v>
      </c>
      <c r="I47" s="20" t="n">
        <v>3000000</v>
      </c>
      <c r="J47" s="21">
        <f>G47+H47+I47-E47</f>
        <v/>
      </c>
      <c r="K47" s="23" t="inlineStr">
        <is>
          <t>Страховая сумма выросла вместе с инфляционной и проектной частями стоимости по исходному тарифу. Удлинение полиса и расширение покрытия отнесены к иным причинам.</t>
        </is>
      </c>
      <c r="L47" s="24" t="inlineStr">
        <is>
          <t>Средний</t>
        </is>
      </c>
      <c r="M47" s="20" t="n">
        <v>4000000</v>
      </c>
      <c r="N47" s="23" t="inlineStr">
        <is>
          <t>При следующем сдвиге срока полис почти наверняка продлевается.</t>
        </is>
      </c>
      <c r="O47" s="24" t="inlineStr">
        <is>
          <t>Б</t>
        </is>
      </c>
    </row>
    <row r="48" outlineLevel="1" ht="48" customHeight="1">
      <c r="A48" s="13" t="inlineStr">
        <is>
          <t>06.02</t>
        </is>
      </c>
      <c r="B48" s="14" t="inlineStr">
        <is>
          <t>Резерв непредвиденных расходов</t>
        </is>
      </c>
      <c r="C48" s="20" t="n">
        <v>350000000</v>
      </c>
      <c r="D48" s="20" t="n">
        <v>340000000</v>
      </c>
      <c r="E48" s="21">
        <f>D48-C48</f>
        <v/>
      </c>
      <c r="F48" s="22">
        <f>IF(AND(C48=0,D48=0),"—",IF(C48=0,"новая статья",E48/C48))</f>
        <v/>
      </c>
      <c r="G48" s="20" t="n">
        <v>0</v>
      </c>
      <c r="H48" s="20" t="n">
        <v>0</v>
      </c>
      <c r="I48" s="20" t="n">
        <v>-10000000</v>
      </c>
      <c r="J48" s="21">
        <f>G48+H48+I48-E48</f>
        <v/>
      </c>
      <c r="K48" s="23" t="inlineStr">
        <is>
          <t>Резерв не индексируется и не является изменением ПСД. Снижение на 10 млн руб. — использование резерва на отклонения, уже показанные в профильных статьях. Это источник финансирования, а не экономия инфляции. Повторно из профильных статей сумма не исключается.</t>
        </is>
      </c>
      <c r="L48" s="24" t="inlineStr">
        <is>
          <t>Высокий</t>
        </is>
      </c>
      <c r="M48" s="20" t="n">
        <v>25000000</v>
      </c>
      <c r="N48" s="23" t="inlineStr">
        <is>
          <t>Остаток резерва ниже ожидаемой стоимости уже названных открытых пакетов: фасад и наружные сети.</t>
        </is>
      </c>
      <c r="O48" s="24" t="inlineStr">
        <is>
          <t>А</t>
        </is>
      </c>
    </row>
    <row r="49" outlineLevel="1" ht="48" customHeight="1">
      <c r="A49" s="13" t="inlineStr">
        <is>
          <t>06.03</t>
        </is>
      </c>
      <c r="B49" s="14" t="inlineStr">
        <is>
          <t>Комиссии, гарантии, обязательные платежи и консультации</t>
        </is>
      </c>
      <c r="C49" s="20" t="n">
        <v>100000000</v>
      </c>
      <c r="D49" s="20" t="n">
        <v>117000000</v>
      </c>
      <c r="E49" s="21">
        <f>D49-C49</f>
        <v/>
      </c>
      <c r="F49" s="22">
        <f>IF(AND(C49=0,D49=0),"—",IF(C49=0,"новая статья",E49/C49))</f>
        <v/>
      </c>
      <c r="G49" s="20" t="n">
        <v>2000000</v>
      </c>
      <c r="H49" s="20" t="n">
        <v>1000000</v>
      </c>
      <c r="I49" s="20" t="n">
        <v>14000000</v>
      </c>
      <c r="J49" s="21">
        <f>G49+H49+I49-E49</f>
        <v/>
      </c>
      <c r="K49" s="23" t="inlineStr">
        <is>
          <t>Индекс комиссий и юридических услуг на исходный периметр. Дополнительные заключения в связи с повторной экспертизой. Пролонгация гарантий и обязательные платежи периода сверх исходного графика.</t>
        </is>
      </c>
      <c r="L49" s="24" t="inlineStr">
        <is>
          <t>Средний</t>
        </is>
      </c>
      <c r="M49" s="20" t="n">
        <v>5000000</v>
      </c>
      <c r="N49" s="23" t="inlineStr">
        <is>
          <t>Платежи завязаны на срок гарантий и на дату ввода.</t>
        </is>
      </c>
      <c r="O49" s="24" t="inlineStr">
        <is>
          <t>Б</t>
        </is>
      </c>
    </row>
    <row r="50" ht="24" customHeight="1">
      <c r="A50" s="5" t="inlineStr">
        <is>
          <t>00</t>
        </is>
      </c>
      <c r="B50" s="25" t="inlineStr">
        <is>
          <t>Итого, сопоставимый периметр</t>
        </is>
      </c>
      <c r="C50" s="26">
        <f>SUM(C5,C10,C16,C38,C42,C46)</f>
        <v/>
      </c>
      <c r="D50" s="26">
        <f>SUM(D5,D10,D16,D38,D42,D46)</f>
        <v/>
      </c>
      <c r="E50" s="26">
        <f>SUM(E5,E10,E16,E38,E42,E46)</f>
        <v/>
      </c>
      <c r="F50" s="27">
        <f>IF(C50=0,"—",E50/C50)</f>
        <v/>
      </c>
      <c r="G50" s="26">
        <f>SUM(G5,G10,G16,G38,G42,G46)</f>
        <v/>
      </c>
      <c r="H50" s="26">
        <f>SUM(H5,H10,H16,H38,H42,H46)</f>
        <v/>
      </c>
      <c r="I50" s="26">
        <f>SUM(I5,I10,I16,I38,I42,I46)</f>
        <v/>
      </c>
      <c r="J50" s="26">
        <f>SUM(J5,J10,J16,J38,J42,J46)</f>
        <v/>
      </c>
      <c r="K50" s="25" t="inlineStr">
        <is>
          <t>F1 + F2 + F3 = отклонение. Сумма риска в это тождество не входит.</t>
        </is>
      </c>
      <c r="L50" s="5" t="inlineStr">
        <is>
          <t>Высокий</t>
        </is>
      </c>
      <c r="M50" s="26">
        <f>SUM(M5,M10,M16,M38,M42,M46)</f>
        <v/>
      </c>
      <c r="N50" s="25" t="inlineStr">
        <is>
          <t>Риск итога определяется открытыми строками с оценкой «Высокий».</t>
        </is>
      </c>
      <c r="O50" s="5" t="n"/>
    </row>
    <row r="52">
      <c r="A52" s="4" t="inlineStr">
        <is>
          <t>Упрощенный расчет суммы каждого фактора</t>
        </is>
      </c>
    </row>
    <row r="53" ht="32" customHeight="1">
      <c r="A53" s="17" t="inlineStr">
        <is>
          <t>Сумма фактора 1 и сумма фактора 2 складываются по строкам. Сумма фактора 3 считается остатком: отклонение минус два первых фактора. Контроль обязан быть нулевым: остаток совпадает с суммой столбца иных причин.</t>
        </is>
      </c>
    </row>
    <row r="54">
      <c r="A54" s="5" t="inlineStr">
        <is>
          <t>Фактор</t>
        </is>
      </c>
      <c r="B54" s="5" t="inlineStr">
        <is>
          <t>Упрощенная формула</t>
        </is>
      </c>
      <c r="C54" s="5" t="inlineStr">
        <is>
          <t>Сумма, руб.</t>
        </is>
      </c>
      <c r="D54" s="5" t="inlineStr">
        <is>
          <t>Доля отклонения</t>
        </is>
      </c>
    </row>
    <row r="55" ht="28" customHeight="1">
      <c r="A55" s="7" t="inlineStr">
        <is>
          <t>Фактор 1. Инфляция</t>
        </is>
      </c>
      <c r="B55" s="28" t="inlineStr">
        <is>
          <t>Σ v0 × p0 × (Iex − 1) по конечным статьям</t>
        </is>
      </c>
      <c r="C55" s="21">
        <f>G50</f>
        <v/>
      </c>
      <c r="D55" s="29">
        <f>IF(E50=0,"—",C55/E50)</f>
        <v/>
      </c>
    </row>
    <row r="56" ht="28" customHeight="1">
      <c r="A56" s="7" t="inlineStr">
        <is>
          <t>Фактор 2. Изменения ПСД</t>
        </is>
      </c>
      <c r="B56" s="28" t="inlineStr">
        <is>
          <t>Σ (v1 × pref − v0 × p0 × Iex) по конечным статьям</t>
        </is>
      </c>
      <c r="C56" s="21">
        <f>H50</f>
        <v/>
      </c>
      <c r="D56" s="29">
        <f>IF(E50=0,"—",C56/E50)</f>
        <v/>
      </c>
    </row>
    <row r="57" ht="28" customHeight="1">
      <c r="A57" s="7" t="inlineStr">
        <is>
          <t>Фактор 3. Иные причины</t>
        </is>
      </c>
      <c r="B57" s="28" t="inlineStr">
        <is>
          <t>Отклонение − сумма фактора 1 − сумма фактора 2</t>
        </is>
      </c>
      <c r="C57" s="21">
        <f>E50-C55-C56</f>
        <v/>
      </c>
      <c r="D57" s="29">
        <f>IF(E50=0,"—",C57/E50)</f>
        <v/>
      </c>
    </row>
    <row r="58" ht="28" customHeight="1">
      <c r="A58" s="30" t="inlineStr">
        <is>
          <t>Контроль упрощенной формулы</t>
        </is>
      </c>
      <c r="B58" s="31" t="inlineStr">
        <is>
          <t>Сумма фактора 3 по строкам − упрощенная сумма фактора 3</t>
        </is>
      </c>
      <c r="C58" s="32">
        <f>I50-C57</f>
        <v/>
      </c>
      <c r="D58" s="33" t="inlineStr">
        <is>
          <t>должно быть 0</t>
        </is>
      </c>
    </row>
  </sheetData>
  <autoFilter ref="A4:O50"/>
  <mergeCells count="4">
    <mergeCell ref="A53:D53"/>
    <mergeCell ref="A1:O1"/>
    <mergeCell ref="A52:D52"/>
    <mergeCell ref="A2:O2"/>
  </mergeCells>
  <conditionalFormatting sqref="J5:J50">
    <cfRule type="cellIs" priority="1" operator="between" dxfId="0">
      <formula>-1</formula>
      <formula>1</formula>
    </cfRule>
    <cfRule type="cellIs" priority="2" operator="notBetween" dxfId="1">
      <formula>-1</formula>
      <formula>1</formula>
    </cfRule>
  </conditionalFormatting>
  <conditionalFormatting sqref="L5:L50">
    <cfRule type="expression" priority="3" dxfId="2">
      <formula>L5="Высокий"</formula>
    </cfRule>
    <cfRule type="expression" priority="4" dxfId="3">
      <formula>L5="Средний"</formula>
    </cfRule>
    <cfRule type="expression" priority="5" dxfId="0">
      <formula>L5="Низкий"</formula>
    </cfRule>
  </conditionalFormatting>
  <dataValidations count="2">
    <dataValidation sqref="L5 L6 L7 L8 L9 L10 L11 L12 L13 L14 L15 L16 L17 L18 L19 L20 L21 L22 L23 L24 L25 L26 L27 L28 L29 L30 L31 L32 L33 L34 L35 L36 L37 L38 L39 L40 L41 L42 L43 L44 L45 L46 L47 L48 L49" showDropDown="0" showInputMessage="0" showErrorMessage="0" allowBlank="1" type="list">
      <formula1>"Низкий,Средний,Высокий"</formula1>
    </dataValidation>
    <dataValidation sqref="O5 O6 O7 O8 O9 O10 O11 O12 O13 O14 O15 O16 O17 O18 O19 O20 O21 O22 O23 O24 O25 O26 O27 O28 O29 O30 O31 O32 O33 O34 O35 O36 O37 O38 O39 O40 O41 O42 O43 O44 O45 O46 O47 O48 O49" showDropDown="0" showInputMessage="0" showErrorMessage="0" allowBlank="1" type="list">
      <formula1>"А,Б,В"</formula1>
    </dataValidation>
  </dataValidations>
  <pageMargins left="0.75" right="0.75" top="1" bottom="1" header="0.5" footer="0.5"/>
  <pageSetup orientation="landscape" paperSize="8" fitToHeight="0" fitToWidth="1"/>
  <headerFooter>
    <oddHeader>&amp;LПостатейный факторный анализ бюджета</oddHeader>
    <oddFooter>&amp;LРубли без НДС. Факторы в сумме равны отклонению.&amp;RСтр. &amp;P</oddFooter>
    <evenHeader/>
    <evenFooter/>
    <firstHeader/>
    <firstFooter/>
  </headerFooter>
</worksheet>
</file>

<file path=xl/worksheets/sheet5.xml><?xml version="1.0" encoding="utf-8"?>
<worksheet xmlns="http://schemas.openxmlformats.org/spreadsheetml/2006/main">
  <sheetPr>
    <tabColor rgb="00C65911"/>
    <outlinePr summaryBelow="1" summaryRight="1"/>
    <pageSetUpPr fitToPage="1"/>
  </sheetPr>
  <dimension ref="A1:O20"/>
  <sheetViews>
    <sheetView showGridLines="0" zoomScale="110" workbookViewId="0">
      <pane xSplit="2" ySplit="5" topLeftCell="C6" activePane="bottomRight" state="frozen"/>
      <selection pane="topRight"/>
      <selection pane="bottomLeft"/>
      <selection pane="bottomRight" activeCell="A1" sqref="A1"/>
    </sheetView>
  </sheetViews>
  <sheetFormatPr baseColWidth="8" defaultRowHeight="15"/>
  <cols>
    <col width="24" customWidth="1" min="1" max="1"/>
    <col width="62" customWidth="1" min="2" max="2"/>
    <col width="24" customWidth="1" min="3" max="3"/>
    <col width="28" customWidth="1" min="4" max="4"/>
    <col width="22" customWidth="1" min="5" max="5"/>
    <col width="16" customWidth="1" min="6" max="6"/>
    <col width="26" customWidth="1" min="7" max="7"/>
    <col width="30" customWidth="1" min="8" max="8"/>
    <col width="28" customWidth="1" min="9" max="9"/>
    <col width="18" customWidth="1" min="10" max="10"/>
    <col width="55" customWidth="1" min="11" max="11"/>
    <col width="16" customWidth="1" min="12" max="12"/>
    <col width="22" customWidth="1" min="13" max="13"/>
    <col width="42" customWidth="1" min="14" max="14"/>
    <col width="16" customWidth="1" min="15" max="15"/>
  </cols>
  <sheetData>
    <row r="1" ht="24" customHeight="1">
      <c r="A1" s="1" t="inlineStr">
        <is>
          <t>Укрупненный факторный анализ</t>
        </is>
      </c>
    </row>
    <row r="2" ht="36" customHeight="1">
      <c r="A2" s="17" t="inlineStr">
        <is>
          <t>Отдельная таблица поверх постатейного анализа. Пять групп: СМР, ПИР, наружные сети и ТУ, коммерческие и административные затраты. Наружные сети вынесены из СМР. Проценты по кредиту не включены. Суммы — формулы со ссылкой на постатейные строки, без повторного ввода.</t>
        </is>
      </c>
    </row>
    <row r="4">
      <c r="A4" s="4" t="inlineStr">
        <is>
          <t>Условный пример</t>
        </is>
      </c>
    </row>
    <row r="5">
      <c r="A5" s="5" t="inlineStr">
        <is>
          <t>Группа</t>
        </is>
      </c>
      <c r="B5" s="5" t="inlineStr">
        <is>
          <t>Состав</t>
        </is>
      </c>
      <c r="C5" s="5" t="inlineStr">
        <is>
          <t>Базовый бюджет, руб.</t>
        </is>
      </c>
      <c r="D5" s="5" t="inlineStr">
        <is>
          <t>Откорректированный бюджет, руб.</t>
        </is>
      </c>
      <c r="E5" s="5" t="inlineStr">
        <is>
          <t>Отклонение, руб.</t>
        </is>
      </c>
      <c r="F5" s="5" t="inlineStr">
        <is>
          <t>Отклонение, %</t>
        </is>
      </c>
      <c r="G5" s="5" t="inlineStr">
        <is>
          <t>Фактор 1. Инфляция, руб.</t>
        </is>
      </c>
      <c r="H5" s="5" t="inlineStr">
        <is>
          <t>Фактор 2. Изменения ПСД, руб.</t>
        </is>
      </c>
      <c r="I5" s="5" t="inlineStr">
        <is>
          <t>Фактор 3. Иные причины, руб.</t>
        </is>
      </c>
      <c r="J5" s="5" t="inlineStr">
        <is>
          <t>Контроль, руб.</t>
        </is>
      </c>
      <c r="K5" s="5" t="inlineStr">
        <is>
          <t>Что входит в группу</t>
        </is>
      </c>
      <c r="L5" s="5" t="inlineStr">
        <is>
          <t>Риск до ввода</t>
        </is>
      </c>
      <c r="M5" s="5" t="inlineStr">
        <is>
          <t>Сумма риска, руб.</t>
        </is>
      </c>
      <c r="N5" s="5" t="inlineStr">
        <is>
          <t>Комментарий</t>
        </is>
      </c>
      <c r="O5" s="5" t="inlineStr">
        <is>
          <t>Класс надежности</t>
        </is>
      </c>
    </row>
    <row r="6" ht="36" customHeight="1">
      <c r="A6" s="6" t="inlineStr">
        <is>
          <t>СМР</t>
        </is>
      </c>
      <c r="B6" s="34" t="inlineStr">
        <is>
          <t>Подготовка площадки, общестроительные работы, внутренние системы и технологическое оборудование. Коды 01, 03.01, 03.02, 03.04.</t>
        </is>
      </c>
      <c r="C6" s="35">
        <f>SUM('Условный пример'!C5,'Условный пример'!C17,'Условный пример'!C25,'Условный пример'!C37)</f>
        <v/>
      </c>
      <c r="D6" s="35">
        <f>SUM('Условный пример'!D5,'Условный пример'!D17,'Условный пример'!D25,'Условный пример'!D37)</f>
        <v/>
      </c>
      <c r="E6" s="35">
        <f>D6-C6</f>
        <v/>
      </c>
      <c r="F6" s="36">
        <f>IF(C6=0,"—",E6/C6)</f>
        <v/>
      </c>
      <c r="G6" s="35">
        <f>SUM('Условный пример'!G5,'Условный пример'!G17,'Условный пример'!G25,'Условный пример'!G37)</f>
        <v/>
      </c>
      <c r="H6" s="35">
        <f>SUM('Условный пример'!H5,'Условный пример'!H17,'Условный пример'!H25,'Условный пример'!H37)</f>
        <v/>
      </c>
      <c r="I6" s="35">
        <f>SUM('Условный пример'!I5,'Условный пример'!I17,'Условный пример'!I25,'Условный пример'!I37)</f>
        <v/>
      </c>
      <c r="J6" s="35">
        <f>G6+H6+I6-E6</f>
        <v/>
      </c>
      <c r="K6" s="28" t="inlineStr">
        <is>
          <t>Подготовка площадки, общестроительные работы, внутренние системы и технологическое оборудование. Коды 01, 03.01, 03.02, 03.04.</t>
        </is>
      </c>
      <c r="L6" s="37">
        <f>IF(OR('Условный пример'!L5="Высокий",'Условный пример'!L17="Высокий",'Условный пример'!L25="Высокий",'Условный пример'!L37="Высокий"),"Высокий",IF(OR('Условный пример'!L5="Средний",'Условный пример'!L17="Средний",'Условный пример'!L25="Средний",'Условный пример'!L37="Средний"),"Средний",IF(COUNTA('Условный пример'!L5,'Условный пример'!L17,'Условный пример'!L25,'Условный пример'!L37)=0,"","Низкий")))</f>
        <v/>
      </c>
      <c r="M6" s="35">
        <f>SUM('Условный пример'!M5,'Условный пример'!M17,'Условный пример'!M25,'Условный пример'!M37)</f>
        <v/>
      </c>
      <c r="N6" s="28" t="inlineStr">
        <is>
          <t>Свертка постатейных строк. Сумма риска в тождество факторов не входит.</t>
        </is>
      </c>
      <c r="O6" s="38" t="inlineStr">
        <is>
          <t>свертка</t>
        </is>
      </c>
    </row>
    <row r="7" ht="36" customHeight="1">
      <c r="A7" s="6" t="inlineStr">
        <is>
          <t>ПИР</t>
        </is>
      </c>
      <c r="B7" s="34" t="inlineStr">
        <is>
          <t>Изыскания, проект, рабочая документация, экспертиза и авторский надзор. Код 02.</t>
        </is>
      </c>
      <c r="C7" s="35">
        <f>SUM('Условный пример'!C10)</f>
        <v/>
      </c>
      <c r="D7" s="35">
        <f>SUM('Условный пример'!D10)</f>
        <v/>
      </c>
      <c r="E7" s="35">
        <f>D7-C7</f>
        <v/>
      </c>
      <c r="F7" s="36">
        <f>IF(C7=0,"—",E7/C7)</f>
        <v/>
      </c>
      <c r="G7" s="35">
        <f>SUM('Условный пример'!G10)</f>
        <v/>
      </c>
      <c r="H7" s="35">
        <f>SUM('Условный пример'!H10)</f>
        <v/>
      </c>
      <c r="I7" s="35">
        <f>SUM('Условный пример'!I10)</f>
        <v/>
      </c>
      <c r="J7" s="35">
        <f>G7+H7+I7-E7</f>
        <v/>
      </c>
      <c r="K7" s="28" t="inlineStr">
        <is>
          <t>Изыскания, проект, рабочая документация, экспертиза и авторский надзор. Код 02.</t>
        </is>
      </c>
      <c r="L7" s="37">
        <f>IF(OR('Условный пример'!L10="Высокий"),"Высокий",IF(OR('Условный пример'!L10="Средний"),"Средний",IF(COUNTA('Условный пример'!L10)=0,"","Низкий")))</f>
        <v/>
      </c>
      <c r="M7" s="35">
        <f>SUM('Условный пример'!M10)</f>
        <v/>
      </c>
      <c r="N7" s="28" t="inlineStr">
        <is>
          <t>Свертка постатейных строк. Сумма риска в тождество факторов не входит.</t>
        </is>
      </c>
      <c r="O7" s="38" t="inlineStr">
        <is>
          <t>свертка</t>
        </is>
      </c>
    </row>
    <row r="8" ht="36" customHeight="1">
      <c r="A8" s="6" t="inlineStr">
        <is>
          <t>Наружные сети и ТУ</t>
        </is>
      </c>
      <c r="B8" s="34" t="inlineStr">
        <is>
          <t>Наружные сети, технологическое присоединение и благоустройство. Код 03.03.</t>
        </is>
      </c>
      <c r="C8" s="35">
        <f>SUM('Условный пример'!C31)</f>
        <v/>
      </c>
      <c r="D8" s="35">
        <f>SUM('Условный пример'!D31)</f>
        <v/>
      </c>
      <c r="E8" s="35">
        <f>D8-C8</f>
        <v/>
      </c>
      <c r="F8" s="36">
        <f>IF(C8=0,"—",E8/C8)</f>
        <v/>
      </c>
      <c r="G8" s="35">
        <f>SUM('Условный пример'!G31)</f>
        <v/>
      </c>
      <c r="H8" s="35">
        <f>SUM('Условный пример'!H31)</f>
        <v/>
      </c>
      <c r="I8" s="35">
        <f>SUM('Условный пример'!I31)</f>
        <v/>
      </c>
      <c r="J8" s="35">
        <f>G8+H8+I8-E8</f>
        <v/>
      </c>
      <c r="K8" s="28" t="inlineStr">
        <is>
          <t>Наружные сети, технологическое присоединение и благоустройство. Код 03.03.</t>
        </is>
      </c>
      <c r="L8" s="37">
        <f>IF(OR('Условный пример'!L31="Высокий"),"Высокий",IF(OR('Условный пример'!L31="Средний"),"Средний",IF(COUNTA('Условный пример'!L31)=0,"","Низкий")))</f>
        <v/>
      </c>
      <c r="M8" s="35">
        <f>SUM('Условный пример'!M31)</f>
        <v/>
      </c>
      <c r="N8" s="28" t="inlineStr">
        <is>
          <t>Свертка постатейных строк. Сумма риска в тождество факторов не входит.</t>
        </is>
      </c>
      <c r="O8" s="38" t="inlineStr">
        <is>
          <t>свертка</t>
        </is>
      </c>
    </row>
    <row r="9" ht="36" customHeight="1">
      <c r="A9" s="6" t="inlineStr">
        <is>
          <t>Коммерческие</t>
        </is>
      </c>
      <c r="B9" s="34" t="inlineStr">
        <is>
          <t>Продвижение, офис продаж и брокерские комиссии. Код 05.</t>
        </is>
      </c>
      <c r="C9" s="35">
        <f>SUM('Условный пример'!C42)</f>
        <v/>
      </c>
      <c r="D9" s="35">
        <f>SUM('Условный пример'!D42)</f>
        <v/>
      </c>
      <c r="E9" s="35">
        <f>D9-C9</f>
        <v/>
      </c>
      <c r="F9" s="36">
        <f>IF(C9=0,"—",E9/C9)</f>
        <v/>
      </c>
      <c r="G9" s="35">
        <f>SUM('Условный пример'!G42)</f>
        <v/>
      </c>
      <c r="H9" s="35">
        <f>SUM('Условный пример'!H42)</f>
        <v/>
      </c>
      <c r="I9" s="35">
        <f>SUM('Условный пример'!I42)</f>
        <v/>
      </c>
      <c r="J9" s="35">
        <f>G9+H9+I9-E9</f>
        <v/>
      </c>
      <c r="K9" s="28" t="inlineStr">
        <is>
          <t>Продвижение, офис продаж и брокерские комиссии. Код 05.</t>
        </is>
      </c>
      <c r="L9" s="37">
        <f>IF(OR('Условный пример'!L42="Высокий"),"Высокий",IF(OR('Условный пример'!L42="Средний"),"Средний",IF(COUNTA('Условный пример'!L42)=0,"","Низкий")))</f>
        <v/>
      </c>
      <c r="M9" s="35">
        <f>SUM('Условный пример'!M42)</f>
        <v/>
      </c>
      <c r="N9" s="28" t="inlineStr">
        <is>
          <t>Свертка постатейных строк. Сумма риска в тождество факторов не входит.</t>
        </is>
      </c>
      <c r="O9" s="38" t="inlineStr">
        <is>
          <t>свертка</t>
        </is>
      </c>
    </row>
    <row r="10" ht="36" customHeight="1">
      <c r="A10" s="6" t="inlineStr">
        <is>
          <t>Административные</t>
        </is>
      </c>
      <c r="B10" s="34" t="inlineStr">
        <is>
          <t>Управление, страхование, резерв, гарантии и обязательные платежи. Коды 04 и 06. Проценты по кредиту не входят.</t>
        </is>
      </c>
      <c r="C10" s="35">
        <f>SUM('Условный пример'!C38,'Условный пример'!C46)</f>
        <v/>
      </c>
      <c r="D10" s="35">
        <f>SUM('Условный пример'!D38,'Условный пример'!D46)</f>
        <v/>
      </c>
      <c r="E10" s="35">
        <f>D10-C10</f>
        <v/>
      </c>
      <c r="F10" s="36">
        <f>IF(C10=0,"—",E10/C10)</f>
        <v/>
      </c>
      <c r="G10" s="35">
        <f>SUM('Условный пример'!G38,'Условный пример'!G46)</f>
        <v/>
      </c>
      <c r="H10" s="35">
        <f>SUM('Условный пример'!H38,'Условный пример'!H46)</f>
        <v/>
      </c>
      <c r="I10" s="35">
        <f>SUM('Условный пример'!I38,'Условный пример'!I46)</f>
        <v/>
      </c>
      <c r="J10" s="35">
        <f>G10+H10+I10-E10</f>
        <v/>
      </c>
      <c r="K10" s="28" t="inlineStr">
        <is>
          <t>Управление, страхование, резерв, гарантии и обязательные платежи. Коды 04 и 06. Проценты по кредиту не входят.</t>
        </is>
      </c>
      <c r="L10" s="37">
        <f>IF(OR('Условный пример'!L38="Высокий",'Условный пример'!L46="Высокий"),"Высокий",IF(OR('Условный пример'!L38="Средний",'Условный пример'!L46="Средний"),"Средний",IF(COUNTA('Условный пример'!L38,'Условный пример'!L46)=0,"","Низкий")))</f>
        <v/>
      </c>
      <c r="M10" s="35">
        <f>SUM('Условный пример'!M38,'Условный пример'!M46)</f>
        <v/>
      </c>
      <c r="N10" s="28" t="inlineStr">
        <is>
          <t>Свертка постатейных строк. Сумма риска в тождество факторов не входит.</t>
        </is>
      </c>
      <c r="O10" s="38" t="inlineStr">
        <is>
          <t>свертка</t>
        </is>
      </c>
    </row>
    <row r="11" ht="24" customHeight="1">
      <c r="A11" s="25" t="inlineStr">
        <is>
          <t>Итого</t>
        </is>
      </c>
      <c r="B11" s="25" t="inlineStr">
        <is>
          <t>Пять групп без повторного счета</t>
        </is>
      </c>
      <c r="C11" s="26">
        <f>SUM(C6:C10)</f>
        <v/>
      </c>
      <c r="D11" s="26">
        <f>SUM(D6:D10)</f>
        <v/>
      </c>
      <c r="E11" s="26">
        <f>SUM(E6:E10)</f>
        <v/>
      </c>
      <c r="F11" s="27">
        <f>IF(C11=0,"—",E11/C11)</f>
        <v/>
      </c>
      <c r="G11" s="26">
        <f>SUM(G6:G10)</f>
        <v/>
      </c>
      <c r="H11" s="26">
        <f>SUM(H6:H10)</f>
        <v/>
      </c>
      <c r="I11" s="26">
        <f>SUM(I6:I10)</f>
        <v/>
      </c>
      <c r="J11" s="26">
        <f>SUM(J6:J10)</f>
        <v/>
      </c>
      <c r="K11" s="25" t="inlineStr">
        <is>
          <t>Сумма групп равна постатейному итогу.</t>
        </is>
      </c>
      <c r="L11" s="5">
        <f>IF(OR('Условный пример'!L5="Высокий",'Условный пример'!L17="Высокий",'Условный пример'!L25="Высокий",'Условный пример'!L37="Высокий",'Условный пример'!L10="Высокий",'Условный пример'!L31="Высокий",'Условный пример'!L42="Высокий",'Условный пример'!L38="Высокий",'Условный пример'!L46="Высокий"),"Высокий",IF(OR('Условный пример'!L5="Средний",'Условный пример'!L17="Средний",'Условный пример'!L25="Средний",'Условный пример'!L37="Средний",'Условный пример'!L10="Средний",'Условный пример'!L31="Средний",'Условный пример'!L42="Средний",'Условный пример'!L38="Средний",'Условный пример'!L46="Средний"),"Средний",IF(COUNTA('Условный пример'!L5,'Условный пример'!L17,'Условный пример'!L25,'Условный пример'!L37,'Условный пример'!L10,'Условный пример'!L31,'Условный пример'!L42,'Условный пример'!L38,'Условный пример'!L46)=0,"","Низкий")))</f>
        <v/>
      </c>
      <c r="M11" s="26">
        <f>SUM(M6:M10)</f>
        <v/>
      </c>
      <c r="N11" s="25" t="inlineStr">
        <is>
          <t>Проценты по кредиту в свод не входят.</t>
        </is>
      </c>
      <c r="O11" s="5" t="n"/>
    </row>
    <row r="13">
      <c r="A13" s="4" t="inlineStr">
        <is>
          <t>Рабочая таблица по листу «Шаблон»</t>
        </is>
      </c>
    </row>
    <row r="14">
      <c r="A14" s="5" t="inlineStr">
        <is>
          <t>Группа</t>
        </is>
      </c>
      <c r="B14" s="5" t="inlineStr">
        <is>
          <t>Состав</t>
        </is>
      </c>
      <c r="C14" s="5" t="inlineStr">
        <is>
          <t>Базовый бюджет, руб.</t>
        </is>
      </c>
      <c r="D14" s="5" t="inlineStr">
        <is>
          <t>Откорректированный бюджет, руб.</t>
        </is>
      </c>
      <c r="E14" s="5" t="inlineStr">
        <is>
          <t>Отклонение, руб.</t>
        </is>
      </c>
      <c r="F14" s="5" t="inlineStr">
        <is>
          <t>Отклонение, %</t>
        </is>
      </c>
      <c r="G14" s="5" t="inlineStr">
        <is>
          <t>Фактор 1. Инфляция, руб.</t>
        </is>
      </c>
      <c r="H14" s="5" t="inlineStr">
        <is>
          <t>Фактор 2. Изменения ПСД, руб.</t>
        </is>
      </c>
      <c r="I14" s="5" t="inlineStr">
        <is>
          <t>Фактор 3. Иные причины, руб.</t>
        </is>
      </c>
      <c r="J14" s="5" t="inlineStr">
        <is>
          <t>Контроль, руб.</t>
        </is>
      </c>
      <c r="K14" s="5" t="inlineStr">
        <is>
          <t>Что входит в группу</t>
        </is>
      </c>
      <c r="L14" s="5" t="inlineStr">
        <is>
          <t>Риск до ввода</t>
        </is>
      </c>
      <c r="M14" s="5" t="inlineStr">
        <is>
          <t>Сумма риска, руб.</t>
        </is>
      </c>
      <c r="N14" s="5" t="inlineStr">
        <is>
          <t>Комментарий</t>
        </is>
      </c>
      <c r="O14" s="5" t="inlineStr">
        <is>
          <t>Класс надежности</t>
        </is>
      </c>
    </row>
    <row r="15" ht="36" customHeight="1">
      <c r="A15" s="6" t="inlineStr">
        <is>
          <t>СМР</t>
        </is>
      </c>
      <c r="B15" s="34" t="inlineStr">
        <is>
          <t>Подготовка площадки, общестроительные работы, внутренние системы и технологическое оборудование. Коды 01, 03.01, 03.02, 03.04.</t>
        </is>
      </c>
      <c r="C15" s="35">
        <f>SUM('Шаблон'!C5,'Шаблон'!C17,'Шаблон'!C25,'Шаблон'!C37)</f>
        <v/>
      </c>
      <c r="D15" s="35">
        <f>SUM('Шаблон'!D5,'Шаблон'!D17,'Шаблон'!D25,'Шаблон'!D37)</f>
        <v/>
      </c>
      <c r="E15" s="35">
        <f>D15-C15</f>
        <v/>
      </c>
      <c r="F15" s="36">
        <f>IF(C15=0,"—",E15/C15)</f>
        <v/>
      </c>
      <c r="G15" s="35">
        <f>SUM('Шаблон'!G5,'Шаблон'!G17,'Шаблон'!G25,'Шаблон'!G37)</f>
        <v/>
      </c>
      <c r="H15" s="35">
        <f>SUM('Шаблон'!H5,'Шаблон'!H17,'Шаблон'!H25,'Шаблон'!H37)</f>
        <v/>
      </c>
      <c r="I15" s="35">
        <f>SUM('Шаблон'!I5,'Шаблон'!I17,'Шаблон'!I25,'Шаблон'!I37)</f>
        <v/>
      </c>
      <c r="J15" s="35">
        <f>G15+H15+I15-E15</f>
        <v/>
      </c>
      <c r="K15" s="28" t="inlineStr">
        <is>
          <t>Подготовка площадки, общестроительные работы, внутренние системы и технологическое оборудование. Коды 01, 03.01, 03.02, 03.04.</t>
        </is>
      </c>
      <c r="L15" s="37">
        <f>IF(OR('Шаблон'!L5="Высокий",'Шаблон'!L17="Высокий",'Шаблон'!L25="Высокий",'Шаблон'!L37="Высокий"),"Высокий",IF(OR('Шаблон'!L5="Средний",'Шаблон'!L17="Средний",'Шаблон'!L25="Средний",'Шаблон'!L37="Средний"),"Средний",IF(COUNTA('Шаблон'!L5,'Шаблон'!L17,'Шаблон'!L25,'Шаблон'!L37)=0,"","Низкий")))</f>
        <v/>
      </c>
      <c r="M15" s="35">
        <f>SUM('Шаблон'!M5,'Шаблон'!M17,'Шаблон'!M25,'Шаблон'!M37)</f>
        <v/>
      </c>
      <c r="N15" s="28" t="inlineStr">
        <is>
          <t>Свертка постатейных строк. Сумма риска в тождество факторов не входит.</t>
        </is>
      </c>
      <c r="O15" s="38" t="inlineStr">
        <is>
          <t>свертка</t>
        </is>
      </c>
    </row>
    <row r="16" ht="36" customHeight="1">
      <c r="A16" s="6" t="inlineStr">
        <is>
          <t>ПИР</t>
        </is>
      </c>
      <c r="B16" s="34" t="inlineStr">
        <is>
          <t>Изыскания, проект, рабочая документация, экспертиза и авторский надзор. Код 02.</t>
        </is>
      </c>
      <c r="C16" s="35">
        <f>SUM('Шаблон'!C10)</f>
        <v/>
      </c>
      <c r="D16" s="35">
        <f>SUM('Шаблон'!D10)</f>
        <v/>
      </c>
      <c r="E16" s="35">
        <f>D16-C16</f>
        <v/>
      </c>
      <c r="F16" s="36">
        <f>IF(C16=0,"—",E16/C16)</f>
        <v/>
      </c>
      <c r="G16" s="35">
        <f>SUM('Шаблон'!G10)</f>
        <v/>
      </c>
      <c r="H16" s="35">
        <f>SUM('Шаблон'!H10)</f>
        <v/>
      </c>
      <c r="I16" s="35">
        <f>SUM('Шаблон'!I10)</f>
        <v/>
      </c>
      <c r="J16" s="35">
        <f>G16+H16+I16-E16</f>
        <v/>
      </c>
      <c r="K16" s="28" t="inlineStr">
        <is>
          <t>Изыскания, проект, рабочая документация, экспертиза и авторский надзор. Код 02.</t>
        </is>
      </c>
      <c r="L16" s="37">
        <f>IF(OR('Шаблон'!L10="Высокий"),"Высокий",IF(OR('Шаблон'!L10="Средний"),"Средний",IF(COUNTA('Шаблон'!L10)=0,"","Низкий")))</f>
        <v/>
      </c>
      <c r="M16" s="35">
        <f>SUM('Шаблон'!M10)</f>
        <v/>
      </c>
      <c r="N16" s="28" t="inlineStr">
        <is>
          <t>Свертка постатейных строк. Сумма риска в тождество факторов не входит.</t>
        </is>
      </c>
      <c r="O16" s="38" t="inlineStr">
        <is>
          <t>свертка</t>
        </is>
      </c>
    </row>
    <row r="17" ht="36" customHeight="1">
      <c r="A17" s="6" t="inlineStr">
        <is>
          <t>Наружные сети и ТУ</t>
        </is>
      </c>
      <c r="B17" s="34" t="inlineStr">
        <is>
          <t>Наружные сети, технологическое присоединение и благоустройство. Код 03.03.</t>
        </is>
      </c>
      <c r="C17" s="35">
        <f>SUM('Шаблон'!C31)</f>
        <v/>
      </c>
      <c r="D17" s="35">
        <f>SUM('Шаблон'!D31)</f>
        <v/>
      </c>
      <c r="E17" s="35">
        <f>D17-C17</f>
        <v/>
      </c>
      <c r="F17" s="36">
        <f>IF(C17=0,"—",E17/C17)</f>
        <v/>
      </c>
      <c r="G17" s="35">
        <f>SUM('Шаблон'!G31)</f>
        <v/>
      </c>
      <c r="H17" s="35">
        <f>SUM('Шаблон'!H31)</f>
        <v/>
      </c>
      <c r="I17" s="35">
        <f>SUM('Шаблон'!I31)</f>
        <v/>
      </c>
      <c r="J17" s="35">
        <f>G17+H17+I17-E17</f>
        <v/>
      </c>
      <c r="K17" s="28" t="inlineStr">
        <is>
          <t>Наружные сети, технологическое присоединение и благоустройство. Код 03.03.</t>
        </is>
      </c>
      <c r="L17" s="37">
        <f>IF(OR('Шаблон'!L31="Высокий"),"Высокий",IF(OR('Шаблон'!L31="Средний"),"Средний",IF(COUNTA('Шаблон'!L31)=0,"","Низкий")))</f>
        <v/>
      </c>
      <c r="M17" s="35">
        <f>SUM('Шаблон'!M31)</f>
        <v/>
      </c>
      <c r="N17" s="28" t="inlineStr">
        <is>
          <t>Свертка постатейных строк. Сумма риска в тождество факторов не входит.</t>
        </is>
      </c>
      <c r="O17" s="38" t="inlineStr">
        <is>
          <t>свертка</t>
        </is>
      </c>
    </row>
    <row r="18" ht="36" customHeight="1">
      <c r="A18" s="6" t="inlineStr">
        <is>
          <t>Коммерческие</t>
        </is>
      </c>
      <c r="B18" s="34" t="inlineStr">
        <is>
          <t>Продвижение, офис продаж и брокерские комиссии. Код 05.</t>
        </is>
      </c>
      <c r="C18" s="35">
        <f>SUM('Шаблон'!C42)</f>
        <v/>
      </c>
      <c r="D18" s="35">
        <f>SUM('Шаблон'!D42)</f>
        <v/>
      </c>
      <c r="E18" s="35">
        <f>D18-C18</f>
        <v/>
      </c>
      <c r="F18" s="36">
        <f>IF(C18=0,"—",E18/C18)</f>
        <v/>
      </c>
      <c r="G18" s="35">
        <f>SUM('Шаблон'!G42)</f>
        <v/>
      </c>
      <c r="H18" s="35">
        <f>SUM('Шаблон'!H42)</f>
        <v/>
      </c>
      <c r="I18" s="35">
        <f>SUM('Шаблон'!I42)</f>
        <v/>
      </c>
      <c r="J18" s="35">
        <f>G18+H18+I18-E18</f>
        <v/>
      </c>
      <c r="K18" s="28" t="inlineStr">
        <is>
          <t>Продвижение, офис продаж и брокерские комиссии. Код 05.</t>
        </is>
      </c>
      <c r="L18" s="37">
        <f>IF(OR('Шаблон'!L42="Высокий"),"Высокий",IF(OR('Шаблон'!L42="Средний"),"Средний",IF(COUNTA('Шаблон'!L42)=0,"","Низкий")))</f>
        <v/>
      </c>
      <c r="M18" s="35">
        <f>SUM('Шаблон'!M42)</f>
        <v/>
      </c>
      <c r="N18" s="28" t="inlineStr">
        <is>
          <t>Свертка постатейных строк. Сумма риска в тождество факторов не входит.</t>
        </is>
      </c>
      <c r="O18" s="38" t="inlineStr">
        <is>
          <t>свертка</t>
        </is>
      </c>
    </row>
    <row r="19" ht="36" customHeight="1">
      <c r="A19" s="6" t="inlineStr">
        <is>
          <t>Административные</t>
        </is>
      </c>
      <c r="B19" s="34" t="inlineStr">
        <is>
          <t>Управление, страхование, резерв, гарантии и обязательные платежи. Коды 04 и 06. Проценты по кредиту не входят.</t>
        </is>
      </c>
      <c r="C19" s="35">
        <f>SUM('Шаблон'!C38,'Шаблон'!C46)</f>
        <v/>
      </c>
      <c r="D19" s="35">
        <f>SUM('Шаблон'!D38,'Шаблон'!D46)</f>
        <v/>
      </c>
      <c r="E19" s="35">
        <f>D19-C19</f>
        <v/>
      </c>
      <c r="F19" s="36">
        <f>IF(C19=0,"—",E19/C19)</f>
        <v/>
      </c>
      <c r="G19" s="35">
        <f>SUM('Шаблон'!G38,'Шаблон'!G46)</f>
        <v/>
      </c>
      <c r="H19" s="35">
        <f>SUM('Шаблон'!H38,'Шаблон'!H46)</f>
        <v/>
      </c>
      <c r="I19" s="35">
        <f>SUM('Шаблон'!I38,'Шаблон'!I46)</f>
        <v/>
      </c>
      <c r="J19" s="35">
        <f>G19+H19+I19-E19</f>
        <v/>
      </c>
      <c r="K19" s="28" t="inlineStr">
        <is>
          <t>Управление, страхование, резерв, гарантии и обязательные платежи. Коды 04 и 06. Проценты по кредиту не входят.</t>
        </is>
      </c>
      <c r="L19" s="37">
        <f>IF(OR('Шаблон'!L38="Высокий",'Шаблон'!L46="Высокий"),"Высокий",IF(OR('Шаблон'!L38="Средний",'Шаблон'!L46="Средний"),"Средний",IF(COUNTA('Шаблон'!L38,'Шаблон'!L46)=0,"","Низкий")))</f>
        <v/>
      </c>
      <c r="M19" s="35">
        <f>SUM('Шаблон'!M38,'Шаблон'!M46)</f>
        <v/>
      </c>
      <c r="N19" s="28" t="inlineStr">
        <is>
          <t>Свертка постатейных строк. Сумма риска в тождество факторов не входит.</t>
        </is>
      </c>
      <c r="O19" s="38" t="inlineStr">
        <is>
          <t>свертка</t>
        </is>
      </c>
    </row>
    <row r="20" ht="24" customHeight="1">
      <c r="A20" s="25" t="inlineStr">
        <is>
          <t>Итого</t>
        </is>
      </c>
      <c r="B20" s="25" t="inlineStr">
        <is>
          <t>Пять групп без повторного счета</t>
        </is>
      </c>
      <c r="C20" s="26">
        <f>SUM(C15:C19)</f>
        <v/>
      </c>
      <c r="D20" s="26">
        <f>SUM(D15:D19)</f>
        <v/>
      </c>
      <c r="E20" s="26">
        <f>SUM(E15:E19)</f>
        <v/>
      </c>
      <c r="F20" s="27">
        <f>IF(C20=0,"—",E20/C20)</f>
        <v/>
      </c>
      <c r="G20" s="26">
        <f>SUM(G15:G19)</f>
        <v/>
      </c>
      <c r="H20" s="26">
        <f>SUM(H15:H19)</f>
        <v/>
      </c>
      <c r="I20" s="26">
        <f>SUM(I15:I19)</f>
        <v/>
      </c>
      <c r="J20" s="26">
        <f>SUM(J15:J19)</f>
        <v/>
      </c>
      <c r="K20" s="25" t="inlineStr">
        <is>
          <t>Сумма групп равна постатейному итогу.</t>
        </is>
      </c>
      <c r="L20" s="5">
        <f>IF(OR('Шаблон'!L5="Высокий",'Шаблон'!L17="Высокий",'Шаблон'!L25="Высокий",'Шаблон'!L37="Высокий",'Шаблон'!L10="Высокий",'Шаблон'!L31="Высокий",'Шаблон'!L42="Высокий",'Шаблон'!L38="Высокий",'Шаблон'!L46="Высокий"),"Высокий",IF(OR('Шаблон'!L5="Средний",'Шаблон'!L17="Средний",'Шаблон'!L25="Средний",'Шаблон'!L37="Средний",'Шаблон'!L10="Средний",'Шаблон'!L31="Средний",'Шаблон'!L42="Средний",'Шаблон'!L38="Средний",'Шаблон'!L46="Средний"),"Средний",IF(COUNTA('Шаблон'!L5,'Шаблон'!L17,'Шаблон'!L25,'Шаблон'!L37,'Шаблон'!L10,'Шаблон'!L31,'Шаблон'!L42,'Шаблон'!L38,'Шаблон'!L46)=0,"","Низкий")))</f>
        <v/>
      </c>
      <c r="M20" s="26">
        <f>SUM(M15:M19)</f>
        <v/>
      </c>
      <c r="N20" s="25" t="inlineStr">
        <is>
          <t>Проценты по кредиту в свод не входят.</t>
        </is>
      </c>
      <c r="O20" s="5" t="n"/>
    </row>
  </sheetData>
  <mergeCells count="2">
    <mergeCell ref="A1:O1"/>
    <mergeCell ref="A2:O2"/>
  </mergeCells>
  <conditionalFormatting sqref="J6:J11">
    <cfRule type="cellIs" priority="1" operator="between" dxfId="0">
      <formula>-1</formula>
      <formula>1</formula>
    </cfRule>
  </conditionalFormatting>
  <conditionalFormatting sqref="J15:J20">
    <cfRule type="cellIs" priority="2" operator="between" dxfId="0">
      <formula>-1</formula>
      <formula>1</formula>
    </cfRule>
  </conditionalFormatting>
  <pageMargins left="0.75" right="0.75" top="1" bottom="1" header="0.5" footer="0.5"/>
  <pageSetup orientation="landscape" paperSize="8" fitToHeight="0" fitToWidth="1"/>
</worksheet>
</file>

<file path=xl/worksheets/sheet6.xml><?xml version="1.0" encoding="utf-8"?>
<worksheet xmlns="http://schemas.openxmlformats.org/spreadsheetml/2006/main">
  <sheetPr>
    <tabColor rgb="00C65911"/>
    <outlinePr summaryBelow="1" summaryRight="1"/>
    <pageSetUpPr fitToPage="1"/>
  </sheetPr>
  <dimension ref="A1:G37"/>
  <sheetViews>
    <sheetView showGridLines="0" workbookViewId="0">
      <pane ySplit="3" topLeftCell="A4" activePane="bottomLeft" state="frozen"/>
      <selection pane="bottomLeft" activeCell="A1" sqref="A1"/>
    </sheetView>
  </sheetViews>
  <sheetFormatPr baseColWidth="8" defaultRowHeight="15"/>
  <cols>
    <col width="62" customWidth="1" min="1" max="1"/>
    <col width="28" customWidth="1" min="2" max="2"/>
    <col width="55" customWidth="1" min="3" max="3"/>
    <col width="18" customWidth="1" min="4" max="4"/>
    <col width="18" customWidth="1" min="5" max="5"/>
    <col width="18" customWidth="1" min="6" max="6"/>
    <col width="18" customWidth="1" min="7" max="7"/>
  </cols>
  <sheetData>
    <row r="1">
      <c r="A1" s="1" t="inlineStr">
        <is>
          <t>Калькулятор одной элементарной позиции</t>
        </is>
      </c>
    </row>
    <row r="2" ht="32" customHeight="1">
      <c r="A2" s="17" t="inlineStr">
        <is>
          <t>F1 = v0 × p0 × (Iex − 1).  F2 = v1 × pref − v0 × p0 × Iex.  F3 = v1 × (p1 − pref).  Если решение не изменилось, pref = p0 × Iex и вводится формулой. Если изменилось, pref — рыночная цена нового решения.</t>
        </is>
      </c>
    </row>
    <row r="4">
      <c r="A4" s="39" t="inlineStr">
        <is>
          <t>Пример 1. Решение не изменилось: монолит, 10 000 м³ → 11 200 м³</t>
        </is>
      </c>
    </row>
    <row r="5">
      <c r="A5" s="7" t="inlineStr">
        <is>
          <t>Исходный объем v0</t>
        </is>
      </c>
      <c r="B5" s="40" t="n">
        <v>10000</v>
      </c>
      <c r="C5" s="28" t="inlineStr">
        <is>
          <t>м³</t>
        </is>
      </c>
    </row>
    <row r="6">
      <c r="A6" s="7" t="inlineStr">
        <is>
          <t>Новый объем v1</t>
        </is>
      </c>
      <c r="B6" s="40" t="n">
        <v>11200</v>
      </c>
      <c r="C6" s="28" t="inlineStr">
        <is>
          <t>м³</t>
        </is>
      </c>
    </row>
    <row r="7">
      <c r="A7" s="7" t="inlineStr">
        <is>
          <t>Исходная цена p0</t>
        </is>
      </c>
      <c r="B7" s="40" t="n">
        <v>18000</v>
      </c>
      <c r="C7" s="28" t="inlineStr">
        <is>
          <t>руб. за единицу</t>
        </is>
      </c>
    </row>
    <row r="8">
      <c r="A8" s="7" t="inlineStr">
        <is>
          <t>Новая цена p1</t>
        </is>
      </c>
      <c r="B8" s="40" t="n">
        <v>22500</v>
      </c>
      <c r="C8" s="28" t="inlineStr">
        <is>
          <t>руб. за единицу</t>
        </is>
      </c>
    </row>
    <row r="9">
      <c r="A9" s="7" t="inlineStr">
        <is>
          <t>Коэффициент Iex</t>
        </is>
      </c>
      <c r="B9" s="41">
        <f>Индекс!B10</f>
        <v/>
      </c>
      <c r="C9" s="28" t="inlineStr">
        <is>
          <t>из листа «Индекс», пример 1</t>
        </is>
      </c>
    </row>
    <row r="10">
      <c r="A10" s="6" t="inlineStr">
        <is>
          <t>Цена-ориентир pref</t>
        </is>
      </c>
      <c r="B10" s="42">
        <f>B7*B9</f>
        <v/>
      </c>
      <c r="C10" s="34" t="inlineStr">
        <is>
          <t>p0 × Iex, решение не менялось</t>
        </is>
      </c>
    </row>
    <row r="12">
      <c r="A12" s="7" t="inlineStr">
        <is>
          <t>Базовый бюджет</t>
        </is>
      </c>
      <c r="B12" s="21">
        <f>B5*B7</f>
        <v/>
      </c>
    </row>
    <row r="13">
      <c r="A13" s="7" t="inlineStr">
        <is>
          <t>Откорректированный бюджет</t>
        </is>
      </c>
      <c r="B13" s="21">
        <f>B6*B8</f>
        <v/>
      </c>
    </row>
    <row r="14">
      <c r="A14" s="7" t="inlineStr">
        <is>
          <t>Отклонение</t>
        </is>
      </c>
      <c r="B14" s="21">
        <f>B13-B12</f>
        <v/>
      </c>
    </row>
    <row r="15">
      <c r="A15" s="12" t="inlineStr">
        <is>
          <t>Фактор 1. Инфляция</t>
        </is>
      </c>
      <c r="B15" s="21">
        <f>B5*B7*(B9-1)</f>
        <v/>
      </c>
    </row>
    <row r="16">
      <c r="A16" s="12" t="inlineStr">
        <is>
          <t>Фактор 2. Изменения ПСД</t>
        </is>
      </c>
      <c r="B16" s="21">
        <f>B6*B10-B5*B7*B9</f>
        <v/>
      </c>
    </row>
    <row r="17">
      <c r="A17" s="12" t="inlineStr">
        <is>
          <t>Фактор 3. Иные причины</t>
        </is>
      </c>
      <c r="B17" s="21">
        <f>B6*(B8-B10)</f>
        <v/>
      </c>
    </row>
    <row r="18">
      <c r="A18" s="6" t="inlineStr">
        <is>
          <t>Контроль</t>
        </is>
      </c>
      <c r="B18" s="32">
        <f>B15+B16+B17-B14</f>
        <v/>
      </c>
    </row>
    <row r="19">
      <c r="A19" s="12" t="inlineStr">
        <is>
          <t>Справочно: взаимодействие внутри фактора 2</t>
        </is>
      </c>
      <c r="B19" s="21">
        <f>(B6-B5)*B7*(B9-1)</f>
        <v/>
      </c>
      <c r="C19" s="2" t="inlineStr">
        <is>
          <t>В фактор 1 повторно не прибавляется</t>
        </is>
      </c>
    </row>
    <row r="21">
      <c r="A21" s="39" t="inlineStr">
        <is>
          <t>Пример 2. Замена решения: кладка 5 000 м² заменена вентилируемым фасадом 5 300 м²</t>
        </is>
      </c>
    </row>
    <row r="22">
      <c r="A22" s="7" t="inlineStr">
        <is>
          <t>Исходный объем v0</t>
        </is>
      </c>
      <c r="B22" s="40" t="n">
        <v>5000</v>
      </c>
    </row>
    <row r="23">
      <c r="A23" s="7" t="inlineStr">
        <is>
          <t>Новый объем v1</t>
        </is>
      </c>
      <c r="B23" s="40" t="n">
        <v>5300</v>
      </c>
    </row>
    <row r="24">
      <c r="A24" s="7" t="inlineStr">
        <is>
          <t>Исходная цена p0</t>
        </is>
      </c>
      <c r="B24" s="40" t="n">
        <v>4500</v>
      </c>
    </row>
    <row r="25">
      <c r="A25" s="7" t="inlineStr">
        <is>
          <t>Новая цена p1</t>
        </is>
      </c>
      <c r="B25" s="40" t="n">
        <v>9600</v>
      </c>
    </row>
    <row r="26">
      <c r="A26" s="7" t="inlineStr">
        <is>
          <t>Iex исходного решения</t>
        </is>
      </c>
      <c r="B26" s="43" t="n">
        <v>1.12</v>
      </c>
    </row>
    <row r="27">
      <c r="A27" s="7" t="inlineStr">
        <is>
          <t>Рыночная цена нового решения pref</t>
        </is>
      </c>
      <c r="B27" s="40" t="n">
        <v>9200</v>
      </c>
    </row>
    <row r="29">
      <c r="A29" s="7" t="inlineStr">
        <is>
          <t>Базовый бюджет</t>
        </is>
      </c>
      <c r="B29" s="21">
        <f>B22*B24</f>
        <v/>
      </c>
    </row>
    <row r="30">
      <c r="A30" s="7" t="inlineStr">
        <is>
          <t>Откорректированный бюджет</t>
        </is>
      </c>
      <c r="B30" s="21">
        <f>B23*B25</f>
        <v/>
      </c>
    </row>
    <row r="31">
      <c r="A31" s="7" t="inlineStr">
        <is>
          <t>Отклонение</t>
        </is>
      </c>
      <c r="B31" s="21">
        <f>B30-B29</f>
        <v/>
      </c>
    </row>
    <row r="32">
      <c r="A32" s="7" t="inlineStr">
        <is>
          <t>Фактор 1. Инфляция</t>
        </is>
      </c>
      <c r="B32" s="21">
        <f>B22*B24*(B26-1)</f>
        <v/>
      </c>
    </row>
    <row r="33">
      <c r="A33" s="7" t="inlineStr">
        <is>
          <t>Фактор 2. Изменения ПСД</t>
        </is>
      </c>
      <c r="B33" s="21">
        <f>B23*B27-B22*B24*B26</f>
        <v/>
      </c>
    </row>
    <row r="34">
      <c r="A34" s="7" t="inlineStr">
        <is>
          <t>Фактор 3. Иные причины</t>
        </is>
      </c>
      <c r="B34" s="21">
        <f>B23*(B25-B27)</f>
        <v/>
      </c>
    </row>
    <row r="35">
      <c r="A35" s="7" t="inlineStr">
        <is>
          <t>Контроль</t>
        </is>
      </c>
      <c r="B35" s="44">
        <f>B32+B33+B34-B31</f>
        <v/>
      </c>
    </row>
    <row r="37">
      <c r="A37" s="2" t="inlineStr">
        <is>
          <t>Инфляция в примере 2 относится только к снятой кладке. Стоимость нового фасада в фактор 1 не входит.</t>
        </is>
      </c>
    </row>
  </sheetData>
  <mergeCells count="2">
    <mergeCell ref="A37:C37"/>
    <mergeCell ref="A2:G2"/>
  </mergeCells>
  <pageMargins left="0.75" right="0.75" top="1" bottom="1" header="0.5" footer="0.5"/>
  <pageSetup orientation="landscape" paperSize="9" fitToHeight="1" fitToWidth="1"/>
</worksheet>
</file>

<file path=xl/worksheets/sheet7.xml><?xml version="1.0" encoding="utf-8"?>
<worksheet xmlns="http://schemas.openxmlformats.org/spreadsheetml/2006/main">
  <sheetPr>
    <tabColor rgb="00548235"/>
    <outlinePr summaryBelow="1" summaryRight="1"/>
    <pageSetUpPr fitToPage="1"/>
  </sheetPr>
  <dimension ref="A1:C31"/>
  <sheetViews>
    <sheetView showGridLines="0" workbookViewId="0">
      <pane ySplit="3" topLeftCell="A4" activePane="bottomLeft" state="frozen"/>
      <selection pane="bottomLeft" activeCell="A1" sqref="A1"/>
    </sheetView>
  </sheetViews>
  <sheetFormatPr baseColWidth="8" defaultRowHeight="15"/>
  <cols>
    <col width="48" customWidth="1" min="1" max="1"/>
    <col width="24" customWidth="1" min="2" max="2"/>
    <col width="78" customWidth="1" min="3" max="3"/>
  </cols>
  <sheetData>
    <row r="1">
      <c r="A1" s="1" t="inlineStr">
        <is>
          <t>Ориентировочный бюджет до рабочей документации</t>
        </is>
      </c>
    </row>
    <row r="2" ht="34" customHeight="1">
      <c r="A2" s="17" t="inlineStr">
        <is>
          <t>Исходного сметного объема нет. Инфляция считается на удельную ставку паспорта. К изменениям проекта относятся площадь и замена названного решения. Первый обсчет той же программы раскрывается внутри иных причин как F3d и вторым фактором не становится.</t>
        </is>
      </c>
    </row>
    <row r="4">
      <c r="A4" s="39" t="inlineStr">
        <is>
          <t>Паспорт и инфляция</t>
        </is>
      </c>
    </row>
    <row r="5">
      <c r="A5" s="7" t="inlineStr">
        <is>
          <t>Исходный измеритель Q0</t>
        </is>
      </c>
      <c r="B5" s="40" t="n">
        <v>50000</v>
      </c>
      <c r="C5" s="28" t="inlineStr">
        <is>
          <t>м² общей площади, как в модели T0</t>
        </is>
      </c>
    </row>
    <row r="6">
      <c r="A6" s="7" t="inlineStr">
        <is>
          <t>Удельная ставка a0</t>
        </is>
      </c>
      <c r="B6" s="40" t="n">
        <v>120000</v>
      </c>
      <c r="C6" s="28" t="inlineStr">
        <is>
          <t>руб. без НДС за единицу измерителя</t>
        </is>
      </c>
    </row>
    <row r="7">
      <c r="A7" s="7" t="inlineStr">
        <is>
          <t>Коэффициент Iex</t>
        </is>
      </c>
      <c r="B7" s="41" t="n">
        <v>1.25</v>
      </c>
      <c r="C7" s="28" t="inlineStr">
        <is>
          <t>дефлятор паспорта, не веса новой сметы</t>
        </is>
      </c>
    </row>
    <row r="8">
      <c r="A8" s="6" t="inlineStr">
        <is>
          <t>Базовый бюджет B0</t>
        </is>
      </c>
      <c r="B8" s="35">
        <f>B5*B6</f>
        <v/>
      </c>
      <c r="C8" s="34" t="inlineStr">
        <is>
          <t>a0 × Q0</t>
        </is>
      </c>
    </row>
    <row r="9">
      <c r="A9" s="6" t="inlineStr">
        <is>
          <t>Фактор 1. Инфляция</t>
        </is>
      </c>
      <c r="B9" s="35">
        <f>B8*(B7-1)</f>
        <v/>
      </c>
      <c r="C9" s="34" t="inlineStr">
        <is>
          <t>только на сумму паспорта</t>
        </is>
      </c>
    </row>
    <row r="10">
      <c r="A10" s="6" t="inlineStr">
        <is>
          <t>Проиндексированный паспорт</t>
        </is>
      </c>
      <c r="B10" s="35">
        <f>B8*B7</f>
        <v/>
      </c>
      <c r="C10" s="34" t="inlineStr">
        <is>
          <t>B0 × Iex</t>
        </is>
      </c>
    </row>
    <row r="12">
      <c r="A12" s="39" t="inlineStr">
        <is>
          <t>Отступление от паспорта</t>
        </is>
      </c>
    </row>
    <row r="13">
      <c r="A13" s="7" t="inlineStr">
        <is>
          <t>Измеритель T1, Q1</t>
        </is>
      </c>
      <c r="B13" s="40" t="n">
        <v>52000</v>
      </c>
      <c r="C13" s="28" t="inlineStr">
        <is>
          <t>новый ТЭП той же единицы измерения</t>
        </is>
      </c>
    </row>
    <row r="14" ht="32" customHeight="1">
      <c r="A14" s="7" t="inlineStr">
        <is>
          <t>Стоимость той же программы S</t>
        </is>
      </c>
      <c r="B14" s="20" t="n">
        <v>7750000000</v>
      </c>
      <c r="C14" s="28" t="inlineStr">
        <is>
          <t>рабочая документация и цены T1 без лишней площади и без замененного решения</t>
        </is>
      </c>
    </row>
    <row r="15">
      <c r="A15" s="7" t="inlineStr">
        <is>
          <t>Удельная стоимость той же программы</t>
        </is>
      </c>
      <c r="B15" s="45">
        <f>IF(B5=0,"",B14/B5)</f>
        <v/>
      </c>
      <c r="C15" s="28" t="inlineStr">
        <is>
          <t>S / Q0, руб. за единицу</t>
        </is>
      </c>
    </row>
    <row r="16">
      <c r="A16" s="7" t="inlineStr">
        <is>
          <t>Фактор 2 по измерителю</t>
        </is>
      </c>
      <c r="B16" s="21">
        <f>(B13-B5)*B15</f>
        <v/>
      </c>
      <c r="C16" s="28" t="inlineStr">
        <is>
          <t>приростная площадь в текущей полноте исходного стандарта</t>
        </is>
      </c>
    </row>
    <row r="17">
      <c r="A17" s="7" t="inlineStr">
        <is>
          <t>Стоимость нового решения на Q0</t>
        </is>
      </c>
      <c r="B17" s="20" t="n">
        <v>1400000000</v>
      </c>
      <c r="C17" s="28" t="inlineStr">
        <is>
          <t>замена решения, названного в паспорте</t>
        </is>
      </c>
    </row>
    <row r="18">
      <c r="A18" s="7" t="inlineStr">
        <is>
          <t>Доля замененного решения в ставке T0</t>
        </is>
      </c>
      <c r="B18" s="20" t="n">
        <v>800000000</v>
      </c>
      <c r="C18" s="28" t="inlineStr">
        <is>
          <t>Allowance0 из паспорта или аналога</t>
        </is>
      </c>
    </row>
    <row r="19">
      <c r="A19" s="6" t="inlineStr">
        <is>
          <t>U, чистая замена</t>
        </is>
      </c>
      <c r="B19" s="35">
        <f>B17-B18*B7</f>
        <v/>
      </c>
      <c r="C19" s="34" t="inlineStr">
        <is>
          <t>Cost1 − Allowance0 × Iex</t>
        </is>
      </c>
    </row>
    <row r="20">
      <c r="A20" s="6" t="inlineStr">
        <is>
          <t>Фактор 2. Изменения ПСД</t>
        </is>
      </c>
      <c r="B20" s="35">
        <f>B16+B19</f>
        <v/>
      </c>
      <c r="C20" s="34" t="inlineStr">
        <is>
          <t>площадь и замена; детализация сюда не входит</t>
        </is>
      </c>
    </row>
    <row r="22">
      <c r="A22" s="39" t="inlineStr">
        <is>
          <t>Факт, уточнение и прочие иные причины</t>
        </is>
      </c>
    </row>
    <row r="23">
      <c r="A23" s="7" t="inlineStr">
        <is>
          <t>Откорректированный бюджет B1</t>
        </is>
      </c>
      <c r="B23" s="20" t="n">
        <v>8560000000</v>
      </c>
      <c r="C23" s="28" t="inlineStr">
        <is>
          <t>статья T1, тот же периметр</t>
        </is>
      </c>
    </row>
    <row r="24">
      <c r="A24" s="6" t="inlineStr">
        <is>
          <t>Фактор 3. Иные причины</t>
        </is>
      </c>
      <c r="B24" s="35">
        <f>B23-B8-B9-B20</f>
        <v/>
      </c>
      <c r="C24" s="34" t="inlineStr">
        <is>
          <t>остаток после инфляции и отступлений от паспорта</t>
        </is>
      </c>
    </row>
    <row r="25">
      <c r="A25" s="30" t="inlineStr">
        <is>
          <t>В том числе F3d, уточнение по РД</t>
        </is>
      </c>
      <c r="B25" s="32">
        <f>B14-B10</f>
        <v/>
      </c>
      <c r="C25" s="31" t="inlineStr">
        <is>
          <t>S − проиндексированный паспорт; это не изменение проекта</t>
        </is>
      </c>
    </row>
    <row r="26">
      <c r="A26" s="7" t="inlineStr">
        <is>
          <t>В том числе прочие иные причины</t>
        </is>
      </c>
      <c r="B26" s="21">
        <f>B24-B25</f>
        <v/>
      </c>
      <c r="C26" s="28" t="inlineStr">
        <is>
          <t>срок, закупка, форс-мажор и налог</t>
        </is>
      </c>
    </row>
    <row r="27">
      <c r="A27" s="6" t="inlineStr">
        <is>
          <t>Отклонение</t>
        </is>
      </c>
      <c r="B27" s="35">
        <f>B23-B8</f>
        <v/>
      </c>
    </row>
    <row r="28">
      <c r="A28" s="30" t="inlineStr">
        <is>
          <t>Контроль тождества</t>
        </is>
      </c>
      <c r="B28" s="32">
        <f>B9+B20+B24-B27</f>
        <v/>
      </c>
      <c r="C28" s="31" t="inlineStr">
        <is>
          <t>F1 + F2 + F3 − отклонение, должно быть 0</t>
        </is>
      </c>
    </row>
    <row r="29">
      <c r="A29" s="30" t="inlineStr">
        <is>
          <t>Контроль состава B1</t>
        </is>
      </c>
      <c r="B29" s="32">
        <f>B14+B20+B26-B23</f>
        <v/>
      </c>
      <c r="C29" s="31" t="inlineStr">
        <is>
          <t>S + F2 + прочие иные − B1, должно быть 0</t>
        </is>
      </c>
    </row>
    <row r="31" ht="36" customHeight="1">
      <c r="A31" s="17" t="inlineStr">
        <is>
          <t>Числа листа — учебный пример раздела 5.10: 6,00 млрд руб. становятся 8,56 млрд руб. Из отклонения 2,56 млрд руб. инфляция паспорта составляет 1,50 млрд, изменения площади и фасада — 0,71 млрд, уточнение по рабочей документации — 0,25 млрд, прочие иные причины — 0,10 млрд.</t>
        </is>
      </c>
    </row>
  </sheetData>
  <mergeCells count="2">
    <mergeCell ref="A31:C31"/>
    <mergeCell ref="A2:C2"/>
  </mergeCells>
  <pageMargins left="0.75" right="0.75" top="1" bottom="1" header="0.5" footer="0.5"/>
  <pageSetup orientation="landscape" paperSize="9" fitToHeight="1" fitToWidth="1"/>
</worksheet>
</file>

<file path=xl/worksheets/sheet8.xml><?xml version="1.0" encoding="utf-8"?>
<worksheet xmlns="http://schemas.openxmlformats.org/spreadsheetml/2006/main">
  <sheetPr>
    <tabColor rgb="008064A2"/>
    <outlinePr summaryBelow="1" summaryRight="1"/>
    <pageSetUpPr fitToPage="1"/>
  </sheetPr>
  <dimension ref="A1:F12"/>
  <sheetViews>
    <sheetView showGridLines="0" workbookViewId="0">
      <pane ySplit="4" topLeftCell="A5" activePane="bottomLeft" state="frozen"/>
      <selection pane="bottomLeft" activeCell="A1" sqref="A1"/>
    </sheetView>
  </sheetViews>
  <sheetFormatPr baseColWidth="8" defaultRowHeight="15"/>
  <cols>
    <col width="48" customWidth="1" min="1" max="1"/>
    <col width="22" customWidth="1" min="2" max="2"/>
    <col width="28" customWidth="1" min="3" max="3"/>
    <col width="22" customWidth="1" min="4" max="4"/>
  </cols>
  <sheetData>
    <row r="1">
      <c r="A1" s="1" t="inlineStr">
        <is>
          <t>Сборка коэффициента инфляции Iex</t>
        </is>
      </c>
    </row>
    <row r="2" ht="36" customHeight="1">
      <c r="A2" s="17" t="inlineStr">
        <is>
          <t>Iex = сумма весов × индексов групп. Сумма весов обязана быть равна 1. Накладные расходы и прибыль процентом отдельным индексом не умножаются: они пересчитываются от проиндексированных прямых затрат по старым ставкам. Берется отношение индекса квартала T1 к индексу квартала T0, а не абсолютный индекс к базе 2001 года.</t>
        </is>
      </c>
    </row>
    <row r="4">
      <c r="A4" s="5" t="inlineStr">
        <is>
          <t>Ресурсная группа</t>
        </is>
      </c>
      <c r="B4" s="5" t="inlineStr">
        <is>
          <t>Вес в цене T0</t>
        </is>
      </c>
      <c r="C4" s="5" t="inlineStr">
        <is>
          <t>Индекс группы Iex</t>
        </is>
      </c>
      <c r="D4" s="5" t="inlineStr">
        <is>
          <t>Вклад в Iex</t>
        </is>
      </c>
    </row>
    <row r="5">
      <c r="A5" s="7" t="inlineStr">
        <is>
          <t>Материалы</t>
        </is>
      </c>
      <c r="B5" s="46" t="n">
        <v>0.62</v>
      </c>
      <c r="C5" s="41" t="n">
        <v>1.19</v>
      </c>
      <c r="D5" s="47">
        <f>B5*C5</f>
        <v/>
      </c>
    </row>
    <row r="6">
      <c r="A6" s="7" t="inlineStr">
        <is>
          <t>Машины и механизмы</t>
        </is>
      </c>
      <c r="B6" s="46" t="n">
        <v>0.11</v>
      </c>
      <c r="C6" s="41" t="n">
        <v>1.14</v>
      </c>
      <c r="D6" s="47">
        <f>B6*C6</f>
        <v/>
      </c>
    </row>
    <row r="7">
      <c r="A7" s="7" t="inlineStr">
        <is>
          <t>Оплата труда</t>
        </is>
      </c>
      <c r="B7" s="46" t="n">
        <v>0.27</v>
      </c>
      <c r="C7" s="41" t="n">
        <v>1.16</v>
      </c>
      <c r="D7" s="47">
        <f>B7*C7</f>
        <v/>
      </c>
    </row>
    <row r="8">
      <c r="A8" s="7" t="inlineStr">
        <is>
          <t>Перевозка, если выделена отдельно</t>
        </is>
      </c>
      <c r="B8" s="46" t="n">
        <v>0</v>
      </c>
      <c r="C8" s="41" t="n">
        <v>1</v>
      </c>
      <c r="D8" s="47">
        <f>B8*C8</f>
        <v/>
      </c>
    </row>
    <row r="9">
      <c r="A9" s="6" t="inlineStr">
        <is>
          <t>Сумма весов</t>
        </is>
      </c>
      <c r="B9" s="48">
        <f>SUM(B5:B8)</f>
        <v/>
      </c>
      <c r="C9" s="34" t="inlineStr">
        <is>
          <t>Должна быть равна 100%</t>
        </is>
      </c>
    </row>
    <row r="10">
      <c r="A10" s="30" t="inlineStr">
        <is>
          <t>Iex позиции</t>
        </is>
      </c>
      <c r="B10" s="49">
        <f>IF(ABS(B9-1)&gt;0.000001,"проверьте веса",SUM(D5:D8))</f>
        <v/>
      </c>
      <c r="C10" s="2" t="inlineStr">
        <is>
          <t>Этот коэффициент подставлен в пример 1 калькулятора позиции</t>
        </is>
      </c>
    </row>
    <row r="12" ht="32" customHeight="1">
      <c r="A12" s="17" t="inlineStr">
        <is>
          <t>Если бюджет T0 уже содержал прогнозный дефлятор, в колонку индекса ставится отношение фактического или нового прогнозного индекса к исходному прогнозу, а не полный рост от даты T0.</t>
        </is>
      </c>
    </row>
  </sheetData>
  <mergeCells count="2">
    <mergeCell ref="A2:F2"/>
    <mergeCell ref="A12:D12"/>
  </mergeCells>
  <conditionalFormatting sqref="B9">
    <cfRule type="cellIs" priority="1" operator="equal" dxfId="0">
      <formula>1</formula>
    </cfRule>
    <cfRule type="cellIs" priority="2" operator="notEqual" dxfId="1">
      <formula>1</formula>
    </cfRule>
  </conditionalFormatting>
  <pageMargins left="0.75" right="0.75" top="1" bottom="1" header="0.5" footer="0.5"/>
  <pageSetup orientation="landscape" fitToHeight="1" fitToWidth="1"/>
</worksheet>
</file>

<file path=xl/worksheets/sheet9.xml><?xml version="1.0" encoding="utf-8"?>
<worksheet xmlns="http://schemas.openxmlformats.org/spreadsheetml/2006/main">
  <sheetPr>
    <tabColor rgb="00833C0C"/>
    <outlinePr summaryBelow="1" summaryRight="1"/>
    <pageSetUpPr fitToPage="1"/>
  </sheetPr>
  <dimension ref="A1:F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22" customWidth="1" min="2" max="2"/>
    <col width="36" customWidth="1" min="3" max="3"/>
    <col width="18" customWidth="1" min="4" max="4"/>
    <col width="18" customWidth="1" min="5" max="5"/>
    <col width="18" customWidth="1" min="6" max="6"/>
    <col width="18" customWidth="1" min="7" max="7"/>
  </cols>
  <sheetData>
    <row r="1">
      <c r="A1" s="1" t="inlineStr">
        <is>
          <t>Процент генподряда и содержание команды</t>
        </is>
      </c>
    </row>
    <row r="2">
      <c r="A2" s="2" t="inlineStr">
        <is>
          <t>Эти статьи считаются после разложения базы. Процент не индексируется вторым кругом. Проценты по кредиту в бюджет проекта не входят и на этом листе не считаются.</t>
        </is>
      </c>
    </row>
    <row r="4">
      <c r="A4" s="39" t="inlineStr">
        <is>
          <t>Вознаграждение: процент от базы плюс помесячное содержание</t>
        </is>
      </c>
    </row>
    <row r="5">
      <c r="A5" s="7" t="inlineStr">
        <is>
          <t>База T0, руб.</t>
        </is>
      </c>
      <c r="B5" s="50" t="n">
        <v>3100000000</v>
      </c>
    </row>
    <row r="6">
      <c r="A6" s="7" t="inlineStr">
        <is>
          <t>Фактор 1 базы, руб.</t>
        </is>
      </c>
      <c r="B6" s="50" t="n">
        <v>280000000</v>
      </c>
    </row>
    <row r="7">
      <c r="A7" s="7" t="inlineStr">
        <is>
          <t>Фактор 2 базы, руб.</t>
        </is>
      </c>
      <c r="B7" s="50" t="n">
        <v>190000000</v>
      </c>
    </row>
    <row r="8">
      <c r="A8" s="7" t="inlineStr">
        <is>
          <t>Фактор 3 базы, руб.</t>
        </is>
      </c>
      <c r="B8" s="50" t="n">
        <v>30000000</v>
      </c>
    </row>
    <row r="9">
      <c r="A9" s="7" t="inlineStr">
        <is>
          <t>Ставка процента T0</t>
        </is>
      </c>
      <c r="B9" s="46" t="n">
        <v>0.03</v>
      </c>
    </row>
    <row r="10">
      <c r="A10" s="7" t="inlineStr">
        <is>
          <t>Ставка процента T1</t>
        </is>
      </c>
      <c r="B10" s="46" t="n">
        <v>0.031</v>
      </c>
    </row>
    <row r="11">
      <c r="A11" s="7" t="inlineStr">
        <is>
          <t>Исходная численность, чел.</t>
        </is>
      </c>
      <c r="B11" s="50" t="n">
        <v>12</v>
      </c>
    </row>
    <row r="12">
      <c r="A12" s="7" t="inlineStr">
        <is>
          <t>Дополнительная численность из-за ПСД, чел.</t>
        </is>
      </c>
      <c r="B12" s="50" t="n">
        <v>2</v>
      </c>
    </row>
    <row r="13">
      <c r="A13" s="7" t="inlineStr">
        <is>
          <t>Исходный срок, мес.</t>
        </is>
      </c>
      <c r="B13" s="50" t="n">
        <v>36</v>
      </c>
    </row>
    <row r="14">
      <c r="A14" s="7" t="inlineStr">
        <is>
          <t>Срок T1, мес.</t>
        </is>
      </c>
      <c r="B14" s="50" t="n">
        <v>43</v>
      </c>
    </row>
    <row r="15">
      <c r="A15" s="7" t="inlineStr">
        <is>
          <t>Стоимость человека в месяц T0, руб.</t>
        </is>
      </c>
      <c r="B15" s="50" t="n">
        <v>350000</v>
      </c>
    </row>
    <row r="16">
      <c r="A16" s="7" t="inlineStr">
        <is>
          <t>Iex оплаты труда</t>
        </is>
      </c>
      <c r="B16" s="43" t="n">
        <v>1.12</v>
      </c>
    </row>
    <row r="17">
      <c r="A17" s="7" t="inlineStr">
        <is>
          <t>Фактическая стоимость человека в месяц T1, руб.</t>
        </is>
      </c>
      <c r="B17" s="50" t="n">
        <v>410000</v>
      </c>
    </row>
    <row r="19">
      <c r="A19" s="12" t="inlineStr">
        <is>
          <t>База T1</t>
        </is>
      </c>
      <c r="B19" s="21">
        <f>B5+B6+B7+B8</f>
        <v/>
      </c>
    </row>
    <row r="20">
      <c r="A20" s="12" t="inlineStr">
        <is>
          <t>Вознаграждение T0</t>
        </is>
      </c>
      <c r="B20" s="21">
        <f>B9*B5+B11*B13*B15</f>
        <v/>
      </c>
    </row>
    <row r="21">
      <c r="A21" s="12" t="inlineStr">
        <is>
          <t>Вознаграждение T1</t>
        </is>
      </c>
      <c r="B21" s="21">
        <f>B10*B19+(B11+B12)*B14*B17</f>
        <v/>
      </c>
    </row>
    <row r="22">
      <c r="A22" s="6" t="inlineStr">
        <is>
          <t>Отклонение</t>
        </is>
      </c>
      <c r="B22" s="35">
        <f>B21-B20</f>
        <v/>
      </c>
    </row>
    <row r="23">
      <c r="A23" s="12" t="inlineStr">
        <is>
          <t>Фактор 1</t>
        </is>
      </c>
      <c r="B23" s="21">
        <f>B9*B6+B11*B13*B15*(B16-1)</f>
        <v/>
      </c>
    </row>
    <row r="24">
      <c r="A24" s="12" t="inlineStr">
        <is>
          <t>Фактор 2</t>
        </is>
      </c>
      <c r="B24" s="21">
        <f>B9*B7+B12*B13*B15*B16</f>
        <v/>
      </c>
    </row>
    <row r="25">
      <c r="A25" s="12" t="inlineStr">
        <is>
          <t>Фактор 3</t>
        </is>
      </c>
      <c r="B25" s="21">
        <f>B22-B23-B24</f>
        <v/>
      </c>
    </row>
    <row r="26">
      <c r="A26" s="6" t="inlineStr">
        <is>
          <t>Контроль</t>
        </is>
      </c>
      <c r="B26" s="32">
        <f>B23+B24+B25-B22</f>
        <v/>
      </c>
    </row>
    <row r="28" ht="28" customHeight="1">
      <c r="A28" s="17" t="inlineStr">
        <is>
          <t>Проценты по кредиту в расчет не включаются: бюджеты проектов эти затраты не содержат.</t>
        </is>
      </c>
    </row>
  </sheetData>
  <mergeCells count="2">
    <mergeCell ref="A2:F2"/>
    <mergeCell ref="A28:B28"/>
  </mergeCells>
  <pageMargins left="0.75" right="0.75" top="1" bottom="1" header="0.5" footer="0.5"/>
  <pageSetup orientation="landscape" paperSize="9" fitToHeight="1" fitToWidth="1"/>
</worksheet>
</file>

<file path=xl/worksheets/sheet10.xml><?xml version="1.0" encoding="utf-8"?>
<worksheet xmlns="http://schemas.openxmlformats.org/spreadsheetml/2006/main">
  <sheetPr>
    <tabColor rgb="00C00000"/>
    <outlinePr summaryBelow="1" summaryRight="1"/>
    <pageSetUpPr fitToPage="1"/>
  </sheetPr>
  <dimension ref="A1:G15"/>
  <sheetViews>
    <sheetView showGridLines="0" workbookViewId="0">
      <pane ySplit="4" topLeftCell="A5" activePane="bottomLeft" state="frozen"/>
      <selection pane="bottomLeft" activeCell="A1" sqref="A1"/>
    </sheetView>
  </sheetViews>
  <sheetFormatPr baseColWidth="8" defaultRowHeight="15"/>
  <cols>
    <col width="55" customWidth="1" min="1" max="1"/>
    <col width="42" customWidth="1" min="2" max="2"/>
    <col width="48" customWidth="1" min="3" max="3"/>
    <col width="55" customWidth="1" min="4" max="4"/>
    <col width="16" customWidth="1" min="5" max="5"/>
    <col width="14" customWidth="1" min="6" max="6"/>
    <col width="14" customWidth="1" min="7" max="7"/>
  </cols>
  <sheetData>
    <row r="1">
      <c r="A1" s="1" t="inlineStr">
        <is>
          <t>Оценка риска дальнейшего роста бюджета до ввода</t>
        </is>
      </c>
    </row>
    <row r="2">
      <c r="A2" s="2" t="inlineStr">
        <is>
          <t>Шкала оценивает новое отклонение сверх откорректированного бюджета. Она не переразлагает уже учтенные факторы.</t>
        </is>
      </c>
    </row>
    <row r="4">
      <c r="A4" s="5" t="inlineStr">
        <is>
          <t>Признак</t>
        </is>
      </c>
      <c r="B4" s="5" t="inlineStr">
        <is>
          <t>0 баллов</t>
        </is>
      </c>
      <c r="C4" s="5" t="inlineStr">
        <is>
          <t>1 балл</t>
        </is>
      </c>
      <c r="D4" s="5" t="inlineStr">
        <is>
          <t>2 балла</t>
        </is>
      </c>
      <c r="E4" s="5" t="inlineStr">
        <is>
          <t>Балл строки</t>
        </is>
      </c>
      <c r="F4" s="5" t="inlineStr"/>
      <c r="G4" s="5" t="inlineStr"/>
    </row>
    <row r="5" ht="30" customHeight="1">
      <c r="A5" s="7" t="inlineStr">
        <is>
          <t>Доля строки без подписанного договора</t>
        </is>
      </c>
      <c r="B5" s="31" t="inlineStr">
        <is>
          <t>менее 15%</t>
        </is>
      </c>
      <c r="C5" s="51" t="inlineStr">
        <is>
          <t>от 15% до 40%</t>
        </is>
      </c>
      <c r="D5" s="52" t="inlineStr">
        <is>
          <t>более 40%</t>
        </is>
      </c>
      <c r="E5" s="53" t="n">
        <v>0</v>
      </c>
    </row>
    <row r="6" ht="30" customHeight="1">
      <c r="A6" s="7" t="inlineStr">
        <is>
          <t>Тип цены подписанного объема</t>
        </is>
      </c>
      <c r="B6" s="31" t="inlineStr">
        <is>
          <t>твердая цена без эскалации</t>
        </is>
      </c>
      <c r="C6" s="51" t="inlineStr">
        <is>
          <t>единичные расценки</t>
        </is>
      </c>
      <c r="D6" s="52" t="inlineStr">
        <is>
          <t>открытая цена или договор не подписан</t>
        </is>
      </c>
      <c r="E6" s="53" t="n">
        <v>0</v>
      </c>
    </row>
    <row r="7" ht="30" customHeight="1">
      <c r="A7" s="7" t="inlineStr">
        <is>
          <t>Зрелость рабочей документации</t>
        </is>
      </c>
      <c r="B7" s="31" t="inlineStr">
        <is>
          <t>заморожена не менее чем на 90%</t>
        </is>
      </c>
      <c r="C7" s="51" t="inlineStr">
        <is>
          <t>от 60% до 90%</t>
        </is>
      </c>
      <c r="D7" s="52" t="inlineStr">
        <is>
          <t>менее 60%</t>
        </is>
      </c>
      <c r="E7" s="53" t="n">
        <v>0</v>
      </c>
    </row>
    <row r="8" ht="30" customHeight="1">
      <c r="A8" s="7" t="inlineStr">
        <is>
          <t>Резерв против ожидаемой стоимости названных рисков</t>
        </is>
      </c>
      <c r="B8" s="31" t="inlineStr">
        <is>
          <t>резерв покрывает не менее 100%</t>
        </is>
      </c>
      <c r="C8" s="51" t="inlineStr">
        <is>
          <t>покрытие от 50% до 100%</t>
        </is>
      </c>
      <c r="D8" s="52" t="inlineStr">
        <is>
          <t>покрытие менее 50%</t>
        </is>
      </c>
      <c r="E8" s="53" t="n">
        <v>0</v>
      </c>
    </row>
    <row r="9" ht="30" customHeight="1">
      <c r="A9" s="7" t="inlineStr">
        <is>
          <t>Срок</t>
        </is>
      </c>
      <c r="B9" s="31" t="inlineStr">
        <is>
          <t>есть резерв времени</t>
        </is>
      </c>
      <c r="C9" s="51" t="inlineStr">
        <is>
          <t>резерв выбран или задержка меньше 3 месяцев</t>
        </is>
      </c>
      <c r="D9" s="52" t="inlineStr">
        <is>
          <t>задержка от 3 месяцев или вероятна претензия на срок</t>
        </is>
      </c>
      <c r="E9" s="53" t="n">
        <v>0</v>
      </c>
    </row>
    <row r="10" ht="30" customHeight="1">
      <c r="A10" s="7" t="inlineStr">
        <is>
          <t>Несогласованные изменения и претензии</t>
        </is>
      </c>
      <c r="B10" s="31" t="inlineStr">
        <is>
          <t>менее 1% строки</t>
        </is>
      </c>
      <c r="C10" s="51" t="inlineStr">
        <is>
          <t>от 1% до 3%</t>
        </is>
      </c>
      <c r="D10" s="52" t="inlineStr">
        <is>
          <t>более 3%</t>
        </is>
      </c>
      <c r="E10" s="53" t="n">
        <v>0</v>
      </c>
    </row>
    <row r="11">
      <c r="A11" s="6" t="inlineStr">
        <is>
          <t>Сумма баллов</t>
        </is>
      </c>
      <c r="E11" s="54">
        <f>SUM(E5:E10)</f>
        <v/>
      </c>
    </row>
    <row r="12" ht="36" customHeight="1">
      <c r="A12" s="55" t="inlineStr">
        <is>
          <t>Принудительное повышение: нет ТУ, отрицательная экспертиза, обременение или неизвестная плата за присоединение</t>
        </is>
      </c>
      <c r="B12" s="8" t="n"/>
      <c r="C12" s="8" t="n"/>
      <c r="D12" s="9" t="n"/>
      <c r="E12" s="53" t="n">
        <v>0</v>
      </c>
    </row>
    <row r="13">
      <c r="A13" s="6" t="inlineStr">
        <is>
          <t>Оценка</t>
        </is>
      </c>
      <c r="E13" s="56">
        <f>IF(E12&gt;=2,"Высокий",IF(AND(E12=1,E11&lt;=3),"Средний",IF(E11&lt;=3,"Низкий",IF(E11&lt;=7,"Средний","Высокий"))))</f>
        <v/>
      </c>
    </row>
    <row r="15" ht="36" customHeight="1">
      <c r="A15" s="17" t="inlineStr">
        <is>
          <t>0–3 балла — низкий риск, 4–7 — средний, 8–12 — высокий. Одно блокирующее обстоятельство поднимает оценку не ниже средней, два — до высокой. Величина возможного удорожания в рублях вносится в колонку «Сумма риска» постатейной таблицы и в тождество факторов не входит.</t>
        </is>
      </c>
    </row>
  </sheetData>
  <mergeCells count="3">
    <mergeCell ref="A12:D12"/>
    <mergeCell ref="A2:G2"/>
    <mergeCell ref="A15:E15"/>
  </mergeCells>
  <dataValidations count="2">
    <dataValidation sqref="E5 E6 E7 E8 E9 E10" showDropDown="0" showInputMessage="0" showErrorMessage="0" allowBlank="0" type="list">
      <formula1>"0,1,2"</formula1>
    </dataValidation>
    <dataValidation sqref="E12" showDropDown="0" showInputMessage="0" showErrorMessage="0" allowBlank="0" type="list">
      <formula1>"0,1,2"</formula1>
    </dataValidation>
  </dataValidations>
  <pageMargins left="0.75" right="0.75" top="1" bottom="1" header="0.5" footer="0.5"/>
  <pageSetup orientation="landscape" paperSize="9" fitToHeight="1" fitToWidth="1"/>
</worksheet>
</file>

<file path=xl/worksheets/sheet11.xml><?xml version="1.0" encoding="utf-8"?>
<worksheet xmlns="http://schemas.openxmlformats.org/spreadsheetml/2006/main">
  <sheetPr>
    <tabColor rgb="001F4E79"/>
    <outlinePr summaryBelow="1" summaryRight="1"/>
    <pageSetUpPr fitToPage="1"/>
  </sheetPr>
  <dimension ref="A1:E29"/>
  <sheetViews>
    <sheetView showGridLines="0" workbookViewId="0">
      <pane ySplit="4" topLeftCell="A5" activePane="bottomLeft" state="frozen"/>
      <selection pane="bottomLeft" activeCell="A1" sqref="A1"/>
    </sheetView>
  </sheetViews>
  <sheetFormatPr baseColWidth="8" defaultRowHeight="15"/>
  <cols>
    <col width="22" customWidth="1" min="1" max="1"/>
    <col width="78" customWidth="1" min="2" max="2"/>
    <col width="32" customWidth="1" min="3" max="3"/>
    <col width="70" customWidth="1" min="4" max="4"/>
    <col width="55" customWidth="1" min="5" max="5"/>
  </cols>
  <sheetData>
    <row r="1">
      <c r="A1" s="1" t="inlineStr">
        <is>
          <t>Минимальный реестр документов для анализа увеличения бюджета</t>
        </is>
      </c>
    </row>
    <row r="2">
      <c r="A2" s="2" t="inlineStr">
        <is>
          <t>В запросе заказчику только документы, без которых фактор нельзя подтвердить. Объяснительная записка документ не заменяет. Проценты по кредиту не запрашиваются: в бюджет проекта они не входят.</t>
        </is>
      </c>
    </row>
    <row r="4">
      <c r="A4" s="5" t="inlineStr">
        <is>
          <t>Группа</t>
        </is>
      </c>
      <c r="B4" s="5" t="inlineStr">
        <is>
          <t>Документ</t>
        </is>
      </c>
      <c r="C4" s="5" t="inlineStr">
        <is>
          <t>Какой фактор закрывает</t>
        </is>
      </c>
      <c r="D4" s="5" t="inlineStr">
        <is>
          <t>Что сверяется</t>
        </is>
      </c>
      <c r="E4" s="5" t="inlineStr">
        <is>
          <t>Если документа нет</t>
        </is>
      </c>
    </row>
    <row r="5" ht="36" customHeight="1">
      <c r="A5" s="6" t="inlineStr">
        <is>
          <t>Сквозные</t>
        </is>
      </c>
      <c r="B5" s="7" t="inlineStr">
        <is>
          <t>Протокол утверждения базового бюджета, модель и макродопущения T0</t>
        </is>
      </c>
      <c r="C5" s="23" t="inlineStr">
        <is>
          <t>Все</t>
        </is>
      </c>
      <c r="D5" s="7" t="inlineStr">
        <is>
          <t>Какой файл является базой и какие дефляторы утверждены</t>
        </is>
      </c>
      <c r="E5" s="55" t="inlineStr">
        <is>
          <t>База не идентифицирована, расчет не начинается</t>
        </is>
      </c>
    </row>
    <row r="6" ht="36" customHeight="1">
      <c r="A6" s="6" t="inlineStr">
        <is>
          <t>Сквозные</t>
        </is>
      </c>
      <c r="B6" s="7" t="inlineStr">
        <is>
          <t>Файл откорректированного бюджета T1 и пояснения застройщика</t>
        </is>
      </c>
      <c r="C6" s="23" t="inlineStr">
        <is>
          <t>Все</t>
        </is>
      </c>
      <c r="D6" s="7" t="inlineStr">
        <is>
          <t>От какой версии отстраивается анализ</t>
        </is>
      </c>
      <c r="E6" s="55" t="inlineStr">
        <is>
          <t>Нет предмета анализа</t>
        </is>
      </c>
    </row>
    <row r="7" ht="36" customHeight="1">
      <c r="A7" s="6" t="inlineStr">
        <is>
          <t>Сквозные</t>
        </is>
      </c>
      <c r="B7" s="7" t="inlineStr">
        <is>
          <t>Письма Минстроя, выгрузка ФГИС ЦС или публикация Росстата</t>
        </is>
      </c>
      <c r="C7" s="57" t="inlineStr">
        <is>
          <t>F1</t>
        </is>
      </c>
      <c r="D7" s="7" t="inlineStr">
        <is>
          <t>Отношение индексов, а не индекс к базе 2001 года</t>
        </is>
      </c>
      <c r="E7" s="55" t="inlineStr">
        <is>
          <t>Называть сумму инфляцией нельзя</t>
        </is>
      </c>
    </row>
    <row r="8" ht="36" customHeight="1">
      <c r="A8" s="6" t="inlineStr">
        <is>
          <t>Сквозные</t>
        </is>
      </c>
      <c r="B8" s="7" t="inlineStr">
        <is>
          <t>Графики T0 и T1 и справка о причинах сдвига</t>
        </is>
      </c>
      <c r="C8" s="55" t="inlineStr">
        <is>
          <t>F3 против F1</t>
        </is>
      </c>
      <c r="D8" s="7" t="inlineStr">
        <is>
          <t>Какие месяцы относятся к сроку, а не к индексу</t>
        </is>
      </c>
      <c r="E8" s="55" t="inlineStr">
        <is>
          <t>Сдвиг сроков остается неразделенным</t>
        </is>
      </c>
    </row>
    <row r="9" ht="36" customHeight="1">
      <c r="A9" s="6" t="inlineStr">
        <is>
          <t>Сквозные</t>
        </is>
      </c>
      <c r="B9" s="7" t="inlineStr">
        <is>
          <t>Справка о периметре: очереди, выбытия, затраты вне бюджета</t>
        </is>
      </c>
      <c r="C9" s="7" t="inlineStr">
        <is>
          <t>До факторов</t>
        </is>
      </c>
      <c r="D9" s="7" t="inlineStr">
        <is>
          <t>Сопоставимость итогов</t>
        </is>
      </c>
      <c r="E9" s="55" t="inlineStr">
        <is>
          <t>Факторы могут объяснять чужой объект</t>
        </is>
      </c>
    </row>
    <row r="10" ht="36" customHeight="1">
      <c r="A10" s="6" t="inlineStr">
        <is>
          <t>Сквозные</t>
        </is>
      </c>
      <c r="B10" s="7" t="inlineStr">
        <is>
          <t>Регистр фактических затрат на дату T1 против бюджета</t>
        </is>
      </c>
      <c r="C10" s="23" t="inlineStr">
        <is>
          <t>Все</t>
        </is>
      </c>
      <c r="D10" s="7" t="inlineStr">
        <is>
          <t>Бюджет T1 связан с фактом</t>
        </is>
      </c>
      <c r="E10" s="55" t="inlineStr">
        <is>
          <t>Бюджет T1 может быть декларацией</t>
        </is>
      </c>
    </row>
    <row r="11" ht="36" customHeight="1">
      <c r="A11" s="6" t="inlineStr">
        <is>
          <t>Ориентировочный бюджет</t>
        </is>
      </c>
      <c r="B11" s="7" t="inlineStr">
        <is>
          <t>Модель T0: удельная ставка, состав, дата цен, дефлятор, ТЭП и задание</t>
        </is>
      </c>
      <c r="C11" s="57" t="inlineStr">
        <is>
          <t>F1, F2</t>
        </is>
      </c>
      <c r="D11" s="7" t="inlineStr">
        <is>
          <t>Паспорт программы, от которого считаются инфляция и отступление</t>
        </is>
      </c>
      <c r="E11" s="55" t="inlineStr">
        <is>
          <t>Инфляцию и изменение проекта не от чего считать</t>
        </is>
      </c>
    </row>
    <row r="12" ht="36" customHeight="1">
      <c r="A12" s="6" t="inlineStr">
        <is>
          <t>Ориентировочный бюджет</t>
        </is>
      </c>
      <c r="B12" s="7" t="inlineStr">
        <is>
          <t>Перечень исключений из ставки и резерв на недопроектированность</t>
        </is>
      </c>
      <c r="C12" s="55" t="inlineStr">
        <is>
          <t>F3d</t>
        </is>
      </c>
      <c r="D12" s="7" t="inlineStr">
        <is>
          <t>Что ставка не обещала</t>
        </is>
      </c>
      <c r="E12" s="55" t="inlineStr">
        <is>
          <t>Уточнение смешивается с пропуском периметра</t>
        </is>
      </c>
    </row>
    <row r="13" ht="36" customHeight="1">
      <c r="A13" s="6" t="inlineStr">
        <is>
          <t>Ориентировочный бюджет</t>
        </is>
      </c>
      <c r="B13" s="7" t="inlineStr">
        <is>
          <t>Рабочая документация и сметы T1 и таблица отступлений, исключенных из стоимости той же программы</t>
        </is>
      </c>
      <c r="C13" s="7" t="inlineStr">
        <is>
          <t>S и F3d</t>
        </is>
      </c>
      <c r="D13" s="7" t="inlineStr">
        <is>
          <t>Стоимость той же программы в ценах T1</t>
        </is>
      </c>
      <c r="E13" s="55" t="inlineStr">
        <is>
          <t>F3d не доказано</t>
        </is>
      </c>
    </row>
    <row r="14" ht="36" customHeight="1">
      <c r="A14" s="6" t="inlineStr">
        <is>
          <t>СМР</t>
        </is>
      </c>
      <c r="B14" s="7" t="inlineStr">
        <is>
          <t>Договоры, дополнительные соглашения и ведомости расценок обеих дат</t>
        </is>
      </c>
      <c r="C14" s="57" t="inlineStr">
        <is>
          <t>F1, F3</t>
        </is>
      </c>
      <c r="D14" s="7" t="inlineStr">
        <is>
          <t>Исходная и новая цена, формула эскалации</t>
        </is>
      </c>
      <c r="E14" s="55" t="inlineStr">
        <is>
          <t>Нет подтверждения цены</t>
        </is>
      </c>
    </row>
    <row r="15" ht="36" customHeight="1">
      <c r="A15" s="6" t="inlineStr">
        <is>
          <t>СМР</t>
        </is>
      </c>
      <c r="B15" s="7" t="inlineStr">
        <is>
          <t>Калькуляция существенных расценок или веса материалов, машин и оплаты труда</t>
        </is>
      </c>
      <c r="C15" s="57" t="inlineStr">
        <is>
          <t>F1</t>
        </is>
      </c>
      <c r="D15" s="7" t="inlineStr">
        <is>
          <t>Из чего собран индекс статьи</t>
        </is>
      </c>
      <c r="E15" s="55" t="inlineStr">
        <is>
          <t>Индекс становится среднеотраслевым, класс не выше Б</t>
        </is>
      </c>
    </row>
    <row r="16" ht="36" customHeight="1">
      <c r="A16" s="6" t="inlineStr">
        <is>
          <t>СМР</t>
        </is>
      </c>
      <c r="B16" s="7" t="inlineStr">
        <is>
          <t>Проект и рабочая документация обеих ревизий, реестр измов и сопоставительная ведомость объемов</t>
        </is>
      </c>
      <c r="C16" s="58" t="inlineStr">
        <is>
          <t>F2</t>
        </is>
      </c>
      <c r="D16" s="7" t="inlineStr">
        <is>
          <t>Что изменилось в решениях и количествах</t>
        </is>
      </c>
      <c r="E16" s="55" t="inlineStr">
        <is>
          <t>F2 не подтверждается</t>
        </is>
      </c>
    </row>
    <row r="17" ht="36" customHeight="1">
      <c r="A17" s="6" t="inlineStr">
        <is>
          <t>СМР</t>
        </is>
      </c>
      <c r="B17" s="7" t="inlineStr">
        <is>
          <t>Спецификации оборудования и ведомости отделки обеих ревизий, если менялся класс</t>
        </is>
      </c>
      <c r="C17" s="58" t="inlineStr">
        <is>
          <t>F2</t>
        </is>
      </c>
      <c r="D17" s="7" t="inlineStr">
        <is>
          <t>Смена класса внутри того же шифра работы</t>
        </is>
      </c>
      <c r="E17" s="55" t="inlineStr">
        <is>
          <t>Смена класса смешивается с инфляцией</t>
        </is>
      </c>
    </row>
    <row r="18" ht="36" customHeight="1">
      <c r="A18" s="6" t="inlineStr">
        <is>
          <t>СМР</t>
        </is>
      </c>
      <c r="B18" s="7" t="inlineStr">
        <is>
          <t>Технические условия и расчет платы за присоединение обеих редакций</t>
        </is>
      </c>
      <c r="C18" s="57" t="inlineStr">
        <is>
          <t>F1, F2, F3</t>
        </is>
      </c>
      <c r="D18" s="7" t="inlineStr">
        <is>
          <t>Мощность, тариф и навязанная трасса по отдельности</t>
        </is>
      </c>
      <c r="E18" s="55" t="inlineStr">
        <is>
          <t>Сети не раскладываются</t>
        </is>
      </c>
    </row>
    <row r="19" ht="36" customHeight="1">
      <c r="A19" s="6" t="inlineStr">
        <is>
          <t>СМР</t>
        </is>
      </c>
      <c r="B19" s="7" t="inlineStr">
        <is>
          <t>Акты, справки о стоимости и накопительные ведомости по закрытому объему</t>
        </is>
      </c>
      <c r="C19" s="23" t="inlineStr">
        <is>
          <t>Все по закрытому объему</t>
        </is>
      </c>
      <c r="D19" s="7" t="inlineStr">
        <is>
          <t>Факт объема и цены</t>
        </is>
      </c>
      <c r="E19" s="55" t="inlineStr">
        <is>
          <t>Закрытый объем не отделен от прогноза</t>
        </is>
      </c>
    </row>
    <row r="20" ht="36" customHeight="1">
      <c r="A20" s="6" t="inlineStr">
        <is>
          <t>СМР</t>
        </is>
      </c>
      <c r="B20" s="7" t="inlineStr">
        <is>
          <t>Реестр претензий, простоев и форс-мажора по существенным суммам иных причин</t>
        </is>
      </c>
      <c r="C20" s="55" t="inlineStr">
        <is>
          <t>F3</t>
        </is>
      </c>
      <c r="D20" s="7" t="inlineStr">
        <is>
          <t>Иные причины по документу, а не остатком</t>
        </is>
      </c>
      <c r="E20" s="55" t="inlineStr">
        <is>
          <t>Остаток F3 ограничивается классом В</t>
        </is>
      </c>
    </row>
    <row r="21" ht="36" customHeight="1">
      <c r="A21" s="6" t="inlineStr">
        <is>
          <t>СМР, без генподряда</t>
        </is>
      </c>
      <c r="B21" s="7" t="inlineStr">
        <is>
          <t>Реестр прямых договоров и матрица разграничения работ и поставок</t>
        </is>
      </c>
      <c r="C21" s="7" t="inlineStr">
        <is>
          <t>Запрет двойного счета</t>
        </is>
      </c>
      <c r="D21" s="7" t="inlineStr">
        <is>
          <t>Сумма пакетов равна статьям СМР</t>
        </is>
      </c>
      <c r="E21" s="55" t="inlineStr">
        <is>
          <t>Невязка блокирует вывод по статье</t>
        </is>
      </c>
    </row>
    <row r="22" ht="36" customHeight="1">
      <c r="A22" s="6" t="inlineStr">
        <is>
          <t>ПИР</t>
        </is>
      </c>
      <c r="B22" s="7" t="inlineStr">
        <is>
          <t>Договоры на изыскания, проект, рабочую документацию и авторский надзор и оба задания на проектирование</t>
        </is>
      </c>
      <c r="C22" s="57" t="inlineStr">
        <is>
          <t>F1, F2, F3</t>
        </is>
      </c>
      <c r="D22" s="7" t="inlineStr">
        <is>
          <t>Цена этапа и какие разделы добавлены</t>
        </is>
      </c>
      <c r="E22" s="55" t="inlineStr">
        <is>
          <t>Переработку не отделить от индекса ставок</t>
        </is>
      </c>
    </row>
    <row r="23" ht="36" customHeight="1">
      <c r="A23" s="6" t="inlineStr">
        <is>
          <t>ПИР</t>
        </is>
      </c>
      <c r="B23" s="7" t="inlineStr">
        <is>
          <t>Ведомость переработанных разделов с причиной</t>
        </is>
      </c>
      <c r="C23" s="58" t="inlineStr">
        <is>
          <t>F2 против F3</t>
        </is>
      </c>
      <c r="D23" s="7" t="inlineStr">
        <is>
          <t>Смена ТЭП отделена от ошибки проектировщика</t>
        </is>
      </c>
      <c r="E23" s="55" t="inlineStr">
        <is>
          <t>Вся переработка падает в один фактор</t>
        </is>
      </c>
    </row>
    <row r="24" ht="36" customHeight="1">
      <c r="A24" s="6" t="inlineStr">
        <is>
          <t>Управление</t>
        </is>
      </c>
      <c r="B24" s="7" t="inlineStr">
        <is>
          <t>Договоры заказчика, генподряда или управляющего, строительного контроля и охраны с базой процента</t>
        </is>
      </c>
      <c r="C24" s="57" t="inlineStr">
        <is>
          <t>F1, F2, F3</t>
        </is>
      </c>
      <c r="D24" s="7" t="inlineStr">
        <is>
          <t>Процент, база процента и возмещаемые затраты</t>
        </is>
      </c>
      <c r="E24" s="55" t="inlineStr">
        <is>
          <t>Процент может задвоить ФОТ</t>
        </is>
      </c>
    </row>
    <row r="25" ht="36" customHeight="1">
      <c r="A25" s="6" t="inlineStr">
        <is>
          <t>Управление</t>
        </is>
      </c>
      <c r="B25" s="7" t="inlineStr">
        <is>
          <t>Численность, месяцы и помесячная стоимость команды на исходный и новый срок</t>
        </is>
      </c>
      <c r="C25" s="57" t="inlineStr">
        <is>
          <t>F1, F3</t>
        </is>
      </c>
      <c r="D25" s="7" t="inlineStr">
        <is>
          <t>Индексация исходных месяцев и лишние месяцы</t>
        </is>
      </c>
      <c r="E25" s="55" t="inlineStr">
        <is>
          <t>Рост содержания не раскладывается</t>
        </is>
      </c>
    </row>
    <row r="26" ht="36" customHeight="1">
      <c r="A26" s="6" t="inlineStr">
        <is>
          <t>Коммерция</t>
        </is>
      </c>
      <c r="B26" s="7" t="inlineStr">
        <is>
          <t>Медиаплан, договоры брокеров и отчет о площади, цене и канале; смета шоурума, если он есть</t>
        </is>
      </c>
      <c r="C26" s="57" t="inlineStr">
        <is>
          <t>F1, F2, F3</t>
        </is>
      </c>
      <c r="D26" s="7" t="inlineStr">
        <is>
          <t>Медиаинфляция, площадь из-за ТЭП, ставка комиссии, отсутствие двойного счета стройки</t>
        </is>
      </c>
      <c r="E26" s="55" t="inlineStr">
        <is>
          <t>Коммерция не раскладывается</t>
        </is>
      </c>
    </row>
    <row r="27" ht="36" customHeight="1">
      <c r="A27" s="6" t="inlineStr">
        <is>
          <t>Финансы</t>
        </is>
      </c>
      <c r="B27" s="7" t="inlineStr">
        <is>
          <t>Полисы и расчеты страховых премий</t>
        </is>
      </c>
      <c r="C27" s="57" t="inlineStr">
        <is>
          <t>F1, F2, F3</t>
        </is>
      </c>
      <c r="D27" s="7" t="inlineStr">
        <is>
          <t>Тариф, страховая сумма и срок полиса</t>
        </is>
      </c>
      <c r="E27" s="55" t="inlineStr">
        <is>
          <t>Страхование остается котловой суммой</t>
        </is>
      </c>
    </row>
    <row r="28" ht="36" customHeight="1">
      <c r="A28" s="6" t="inlineStr">
        <is>
          <t>Финансы</t>
        </is>
      </c>
      <c r="B28" s="7" t="inlineStr">
        <is>
          <t>Положение о резерве и регистр использования</t>
        </is>
      </c>
      <c r="C28" s="55" t="inlineStr">
        <is>
          <t>F3 и перенос в статьи</t>
        </is>
      </c>
      <c r="D28" s="7" t="inlineStr">
        <is>
          <t>Куда ушел резерв и не снят ли он второй раз</t>
        </is>
      </c>
      <c r="E28" s="55" t="inlineStr">
        <is>
          <t>Отрицательный резерв можно принять за экономию</t>
        </is>
      </c>
    </row>
    <row r="29" ht="36" customHeight="1">
      <c r="A29" s="6" t="inlineStr">
        <is>
          <t>Финансы</t>
        </is>
      </c>
      <c r="B29" s="7" t="inlineStr">
        <is>
          <t>Договоры гарантий и расчет обязательных платежей периода строительства</t>
        </is>
      </c>
      <c r="C29" s="55" t="inlineStr">
        <is>
          <t>F3</t>
        </is>
      </c>
      <c r="D29" s="7" t="inlineStr">
        <is>
          <t>Пролонгация и новые платежи</t>
        </is>
      </c>
      <c r="E29" s="55" t="inlineStr">
        <is>
          <t>Строка комиссий не раскрыта</t>
        </is>
      </c>
    </row>
  </sheetData>
  <autoFilter ref="A4:E29"/>
  <mergeCells count="1">
    <mergeCell ref="A2:E2"/>
  </mergeCells>
  <pageMargins left="0.75" right="0.75" top="1" bottom="1" header="0.5" footer="0.5"/>
  <pageSetup orientation="landscape" paperSize="8" fitToHeight="0" fitToWidth="1"/>
</worksheet>
</file>

<file path=xl/worksheets/sheet12.xml><?xml version="1.0" encoding="utf-8"?>
<worksheet xmlns="http://schemas.openxmlformats.org/spreadsheetml/2006/main">
  <sheetPr>
    <tabColor rgb="00548235"/>
    <outlinePr summaryBelow="1" summaryRight="1"/>
    <pageSetUpPr fitToPage="1"/>
  </sheetPr>
  <dimension ref="A1:D26"/>
  <sheetViews>
    <sheetView showGridLines="0" workbookViewId="0">
      <pane ySplit="4" topLeftCell="A5" activePane="bottomLeft" state="frozen"/>
      <selection pane="bottomLeft" activeCell="A1" sqref="A1"/>
    </sheetView>
  </sheetViews>
  <sheetFormatPr baseColWidth="8" defaultRowHeight="15"/>
  <cols>
    <col width="62" customWidth="1" min="1" max="1"/>
    <col width="28" customWidth="1" min="2" max="2"/>
    <col width="28" customWidth="1" min="3" max="3"/>
    <col width="16" customWidth="1" min="4" max="4"/>
  </cols>
  <sheetData>
    <row r="1">
      <c r="A1" s="1" t="inlineStr">
        <is>
          <t>Контроль условного примера</t>
        </is>
      </c>
    </row>
    <row r="2">
      <c r="A2" s="2" t="inlineStr">
        <is>
          <t>Все значения подтянуты формулами с листа «Условный пример». Нулевой контроль — условие выпуска таблицы.</t>
        </is>
      </c>
    </row>
    <row r="4">
      <c r="A4" s="5" t="inlineStr">
        <is>
          <t>Проверка</t>
        </is>
      </c>
      <c r="B4" s="5" t="inlineStr">
        <is>
          <t>Значение</t>
        </is>
      </c>
      <c r="C4" s="5" t="inlineStr">
        <is>
          <t>Ожидание</t>
        </is>
      </c>
      <c r="D4" s="59" t="inlineStr">
        <is>
          <t>Сошлось</t>
        </is>
      </c>
    </row>
    <row r="5">
      <c r="A5" s="7" t="inlineStr">
        <is>
          <t>Базовый бюджет, руб.</t>
        </is>
      </c>
      <c r="B5" s="35">
        <f>'Условный пример'!C50</f>
        <v/>
      </c>
      <c r="C5" s="60" t="n">
        <v>7020000000</v>
      </c>
      <c r="D5" s="61">
        <f>ABS(B5-C5)&lt;0.001</f>
        <v/>
      </c>
    </row>
    <row r="6">
      <c r="A6" s="7" t="inlineStr">
        <is>
          <t>Откорректированный бюджет, руб.</t>
        </is>
      </c>
      <c r="B6" s="35">
        <f>'Условный пример'!D50</f>
        <v/>
      </c>
      <c r="C6" s="60" t="n">
        <v>8175000000</v>
      </c>
      <c r="D6" s="61">
        <f>ABS(B6-C6)&lt;0.001</f>
        <v/>
      </c>
    </row>
    <row r="7">
      <c r="A7" s="7" t="inlineStr">
        <is>
          <t>Отклонение, руб.</t>
        </is>
      </c>
      <c r="B7" s="35">
        <f>'Условный пример'!E50</f>
        <v/>
      </c>
      <c r="C7" s="60" t="n">
        <v>1155000000</v>
      </c>
      <c r="D7" s="61">
        <f>ABS(B7-C7)&lt;0.001</f>
        <v/>
      </c>
    </row>
    <row r="8">
      <c r="A8" s="7" t="inlineStr">
        <is>
          <t>Фактор 1, руб.</t>
        </is>
      </c>
      <c r="B8" s="35">
        <f>'Условный пример'!G50</f>
        <v/>
      </c>
      <c r="C8" s="60" t="n">
        <v>535000000</v>
      </c>
      <c r="D8" s="61">
        <f>ABS(B8-C8)&lt;0.001</f>
        <v/>
      </c>
    </row>
    <row r="9">
      <c r="A9" s="7" t="inlineStr">
        <is>
          <t>Фактор 2, руб.</t>
        </is>
      </c>
      <c r="B9" s="35">
        <f>'Условный пример'!H50</f>
        <v/>
      </c>
      <c r="C9" s="60" t="n">
        <v>446000000</v>
      </c>
      <c r="D9" s="61">
        <f>ABS(B9-C9)&lt;0.001</f>
        <v/>
      </c>
    </row>
    <row r="10">
      <c r="A10" s="7" t="inlineStr">
        <is>
          <t>Фактор 3, руб.</t>
        </is>
      </c>
      <c r="B10" s="35">
        <f>'Условный пример'!I50</f>
        <v/>
      </c>
      <c r="C10" s="60" t="n">
        <v>174000000</v>
      </c>
      <c r="D10" s="61">
        <f>ABS(B10-C10)&lt;0.001</f>
        <v/>
      </c>
    </row>
    <row r="11">
      <c r="A11" s="7" t="inlineStr">
        <is>
          <t>Контроль тождества, руб.</t>
        </is>
      </c>
      <c r="B11" s="35">
        <f>'Условный пример'!J50</f>
        <v/>
      </c>
      <c r="C11" s="60" t="n">
        <v>0</v>
      </c>
      <c r="D11" s="61">
        <f>ABS(B11-C11)&lt;0.001</f>
        <v/>
      </c>
    </row>
    <row r="12">
      <c r="A12" s="7" t="inlineStr">
        <is>
          <t>Отклонение к базе</t>
        </is>
      </c>
      <c r="B12" s="62">
        <f>B7/B5</f>
        <v/>
      </c>
      <c r="C12" s="63" t="n">
        <v>0.1645299145299145</v>
      </c>
      <c r="D12" s="61">
        <f>ABS(B12-C12)&lt;0.001</f>
        <v/>
      </c>
    </row>
    <row r="13">
      <c r="A13" s="7" t="inlineStr">
        <is>
          <t>Доля инфляции в приросте</t>
        </is>
      </c>
      <c r="B13" s="62">
        <f>B8/B7</f>
        <v/>
      </c>
      <c r="C13" s="63" t="n">
        <v>0.4632034632034632</v>
      </c>
      <c r="D13" s="61">
        <f>ABS(B13-C13)&lt;0.001</f>
        <v/>
      </c>
    </row>
    <row r="14">
      <c r="A14" s="7" t="inlineStr">
        <is>
          <t>Доля ПСД в приросте</t>
        </is>
      </c>
      <c r="B14" s="62">
        <f>B9/B7</f>
        <v/>
      </c>
      <c r="C14" s="63" t="n">
        <v>0.3861471861471861</v>
      </c>
      <c r="D14" s="61">
        <f>ABS(B14-C14)&lt;0.001</f>
        <v/>
      </c>
    </row>
    <row r="15">
      <c r="A15" s="7" t="inlineStr">
        <is>
          <t>Доля иных причин в приросте</t>
        </is>
      </c>
      <c r="B15" s="62">
        <f>B10/B7</f>
        <v/>
      </c>
      <c r="C15" s="63" t="n">
        <v>0.1506493506493506</v>
      </c>
      <c r="D15" s="61">
        <f>ABS(B15-C15)&lt;0.001</f>
        <v/>
      </c>
    </row>
    <row r="16">
      <c r="A16" s="7" t="inlineStr">
        <is>
          <t>Сумма риска, руб.</t>
        </is>
      </c>
      <c r="B16" s="35">
        <f>'Условный пример'!M50</f>
        <v/>
      </c>
      <c r="C16" s="60" t="n">
        <v>444000000</v>
      </c>
      <c r="D16" s="61">
        <f>ABS(B16-C16)&lt;0.001</f>
        <v/>
      </c>
    </row>
    <row r="17">
      <c r="A17" s="7" t="inlineStr">
        <is>
          <t>Контроль упрощенной суммы фактора 3, руб.</t>
        </is>
      </c>
      <c r="B17" s="35">
        <f>'Условный пример'!C58</f>
        <v/>
      </c>
      <c r="C17" s="60" t="n">
        <v>0</v>
      </c>
      <c r="D17" s="61">
        <f>ABS(B17-C17)&lt;0.001</f>
        <v/>
      </c>
    </row>
    <row r="18">
      <c r="A18" s="7" t="inlineStr">
        <is>
          <t>Укрупненный итог, базовый бюджет, руб.</t>
        </is>
      </c>
      <c r="B18" s="35">
        <f>'Укрупненный анализ'!C11</f>
        <v/>
      </c>
      <c r="C18" s="60" t="n">
        <v>7020000000</v>
      </c>
      <c r="D18" s="61">
        <f>ABS(B18-C18)&lt;0.001</f>
        <v/>
      </c>
    </row>
    <row r="19">
      <c r="A19" s="7" t="inlineStr">
        <is>
          <t>Укрупненный итог, контроль, руб.</t>
        </is>
      </c>
      <c r="B19" s="35">
        <f>'Укрупненный анализ'!J11</f>
        <v/>
      </c>
      <c r="C19" s="60" t="n">
        <v>0</v>
      </c>
      <c r="D19" s="61">
        <f>ABS(B19-C19)&lt;0.001</f>
        <v/>
      </c>
    </row>
    <row r="20">
      <c r="A20" s="7" t="inlineStr">
        <is>
          <t>Укрупненный итог, сумма риска, руб.</t>
        </is>
      </c>
      <c r="B20" s="35">
        <f>'Укрупненный анализ'!M11</f>
        <v/>
      </c>
      <c r="C20" s="60" t="n">
        <v>444000000</v>
      </c>
      <c r="D20" s="61">
        <f>ABS(B20-C20)&lt;0.001</f>
        <v/>
      </c>
    </row>
    <row r="22">
      <c r="A22" s="7" t="inlineStr">
        <is>
          <t>Позиция монолита, контроль калькулятора, руб.</t>
        </is>
      </c>
      <c r="B22" s="64">
        <f>'Калькулятор позиции'!B18</f>
        <v/>
      </c>
    </row>
    <row r="23">
      <c r="A23" s="7" t="inlineStr">
        <is>
          <t>Замена фасада, контроль калькулятора, руб.</t>
        </is>
      </c>
      <c r="B23" s="64">
        <f>'Калькулятор позиции'!B35</f>
        <v/>
      </c>
    </row>
    <row r="24">
      <c r="A24" s="7" t="inlineStr">
        <is>
          <t>Контроль производного вознаграждения, руб.</t>
        </is>
      </c>
      <c r="B24" s="64">
        <f>'Производные затраты'!B26</f>
        <v/>
      </c>
    </row>
    <row r="25">
      <c r="A25" s="7" t="inlineStr">
        <is>
          <t>Контроль ориентировочного бюджета, руб.</t>
        </is>
      </c>
      <c r="B25" s="64">
        <f>'Ориентировочный бюджет'!B28</f>
        <v/>
      </c>
    </row>
    <row r="26">
      <c r="A26" s="7" t="inlineStr">
        <is>
          <t>Контроль состава ориентировочного бюджета, руб.</t>
        </is>
      </c>
      <c r="B26" s="64">
        <f>'Ориентировочный бюджет'!B29</f>
        <v/>
      </c>
    </row>
  </sheetData>
  <mergeCells count="1">
    <mergeCell ref="A2:C2"/>
  </mergeCells>
  <conditionalFormatting sqref="D5:D20">
    <cfRule type="expression" priority="1" dxfId="0">
      <formula>D5=TRUE</formula>
    </cfRule>
    <cfRule type="expression" priority="2" dxfId="1">
      <formula>D5=FALSE</formula>
    </cfRule>
  </conditionalFormatting>
  <pageMargins left="0.75" right="0.75" top="1" bottom="1"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2026-10-11T13:55:42Z</dcterms:created>
  <dcterms:modified xmlns:dcterms="http://purl.org/dc/terms/" xmlns:xsi="http://www.w3.org/2001/XMLSchema-instance" xsi:type="dcterms:W3CDTF">2026-10-11T13:55:42Z</dcterms:modified>
</cp:coreProperties>
</file>